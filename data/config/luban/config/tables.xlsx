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<sst xmlns="http://schemas.openxmlformats.org/spreadsheetml/2006/main" count="44" uniqueCount="41">
  <si>
    <t>##var</t>
  </si>
  <si>
    <t>full_name</t>
  </si>
  <si>
    <t>value_type</t>
  </si>
  <si>
    <t>read_schema_from_file</t>
  </si>
  <si>
    <t>name</t>
  </si>
  <si>
    <t>##</t>
  </si>
  <si>
    <t>input</t>
  </si>
  <si>
    <t>index</t>
  </si>
  <si>
    <t>mode</t>
  </si>
  <si>
    <t>group</t>
  </si>
  <si>
    <t>comment</t>
  </si>
  <si>
    <t>tags</t>
  </si>
  <si>
    <t>output</t>
  </si>
  <si>
    <t>全名(包含模块和名字)</t>
  </si>
  <si>
    <t>记录类名</t>
  </si>
  <si>
    <t>从excel读取定义</t>
  </si>
  <si>
    <t>基础名字</t>
  </si>
  <si>
    <t>备注：表名称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</si>
  <si>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</si>
  <si>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</si>
  <si>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</si>
  <si>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</si>
  <si>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</si>
  <si>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</si>
  <si>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</si>
  <si>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用途说明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</si>
  <si>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</si>
  <si>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</si>
  <si>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</si>
  <si>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</si>
  <si>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surname</t>
  </si>
  <si>
    <t>姓氏</t>
  </si>
  <si>
    <t>名字</t>
  </si>
  <si>
    <t>red_dot</t>
  </si>
  <si>
    <t>红点</t>
  </si>
  <si>
    <t>item</t>
  </si>
  <si>
    <t>物品</t>
  </si>
  <si>
    <t>develop</t>
  </si>
  <si>
    <t>养成</t>
  </si>
  <si>
    <t>rename_cost</t>
  </si>
  <si>
    <t>改名消耗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</si>
</sst>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name val="Arial"/>
      <charset val="134"/>
    </font>
    <font>
      <sz val="11"/>
      <color rgb="FF006100"/>
      <name val="微软雅黑"/>
      <charset val="134"/>
    </font>
    <font>
      <sz val="1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等线"/>
      <charset val="134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2" borderId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3">
    <xf numFmtId="0" fontId="0" fillId="0" borderId="0" xfId="0" applyAlignment="1"/>
    <xf numFmtId="0" fontId="1" fillId="2" borderId="0" xfId="22" applyFont="1" applyAlignment="1"/>
    <xf numFmtId="0" fontId="2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175"/>
  <sheetViews>
    <sheetView tabSelected="1" workbookViewId="0">
      <pane xSplit="3" ySplit="4" topLeftCell="D5" activePane="bottomRight" state="frozen"/>
      <selection/>
      <selection pane="topRight"/>
      <selection pane="bottomLeft"/>
      <selection pane="bottomRight" activeCell="B5" sqref="B5:B11"/>
    </sheetView>
  </sheetViews>
  <sheetFormatPr defaultColWidth="9" defaultRowHeight="16.5"/>
  <cols>
    <col min="1" max="1" width="9" style="2"/>
    <col min="2" max="2" width="42.7142857142857" style="2" customWidth="1"/>
    <col min="3" max="3" width="38.7142857142857" style="2" customWidth="1"/>
    <col min="4" max="5" width="61.8571428571429" style="2" customWidth="1"/>
    <col min="6" max="6" width="54.4285714285714" style="2" customWidth="1"/>
    <col min="7" max="7" width="49" style="2" customWidth="1"/>
    <col min="8" max="8" width="69.4285714285714" style="2" customWidth="1"/>
    <col min="9" max="9" width="51.5714285714286" style="2" customWidth="1"/>
    <col min="10" max="10" width="61" style="2" customWidth="1"/>
    <col min="11" max="11" width="18" style="2" customWidth="1"/>
    <col min="12" max="12" width="12.8571428571429" style="2" customWidth="1"/>
    <col min="13" max="13" width="35.1428571428571" style="2" customWidth="1"/>
    <col min="14" max="16384" width="9" style="2"/>
  </cols>
  <sheetData>
    <row r="1" s="1" customForma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="1" customFormat="1" spans="1:13">
      <c r="A2" s="1" t="s">
        <v>5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22</v>
      </c>
      <c r="M2" s="1" t="s">
        <v>23</v>
      </c>
    </row>
    <row r="3" s="1" customFormat="1" spans="1:13">
      <c r="A3" s="1" t="s">
        <v>5</v>
      </c>
      <c r="D3" s="1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</row>
    <row r="4" spans="1:13">
      <c r="M4" s="2" t="str">
        <f>SUBSTITUTE(SUBSTITUTE(B4,"_",""),".","")</f>
        <v/>
      </c>
    </row>
    <row r="5" spans="1:13">
      <c r="B5" s="2" t="str">
        <f>IF(M5&lt;&gt;"","game."&amp;M5,"")</f>
        <v>game.surname_config_container</v>
      </c>
      <c r="C5" s="2" t="str">
        <f t="shared" ref="C5:C11" si="0">IF(E5&lt;&gt;"",E5&amp;"_config","")</f>
        <v>surname_config</v>
      </c>
      <c r="D5" s="2" t="b">
        <v>1</v>
      </c>
      <c r="E5" s="2" t="s">
        <v>30</v>
      </c>
      <c r="G5" s="2" t="str">
        <f>IF(E5&lt;&gt;"","general/"&amp;E5&amp;".xlsx","")</f>
        <v>general/surname.xlsx</v>
      </c>
      <c r="K5" s="2" t="s">
        <v>31</v>
      </c>
      <c r="M5" s="2" t="str">
        <f>IF(C5&lt;&gt;"",C5&amp;"_container","")</f>
        <v>surname_config_container</v>
      </c>
    </row>
    <row r="6" spans="1:13">
      <c r="B6" s="2" t="str">
        <f t="shared" ref="B6:B11" si="1">IF(M6&lt;&gt;"","game."&amp;M6,"")</f>
        <v>game.name_config_container</v>
      </c>
      <c r="C6" s="2" t="str">
        <f t="shared" si="0"/>
        <v>name_config</v>
      </c>
      <c r="D6" s="2" t="b">
        <v>1</v>
      </c>
      <c r="E6" s="2" t="s">
        <v>4</v>
      </c>
      <c r="G6" s="2" t="str">
        <f t="shared" ref="G6:G11" si="2">IF(E6&lt;&gt;"","general/"&amp;E6&amp;".xlsx","")</f>
        <v>general/name.xlsx</v>
      </c>
      <c r="K6" s="2" t="s">
        <v>32</v>
      </c>
      <c r="M6" s="2" t="str">
        <f t="shared" ref="M6:M11" si="3">IF(C6&lt;&gt;"",C6&amp;"_container","")</f>
        <v>name_config_container</v>
      </c>
    </row>
    <row r="7" spans="1:13">
      <c r="B7" s="2" t="str">
        <f t="shared" si="1"/>
        <v>game.red_dot_config_container</v>
      </c>
      <c r="C7" s="2" t="str">
        <f t="shared" si="0"/>
        <v>red_dot_config</v>
      </c>
      <c r="D7" s="2" t="b">
        <v>1</v>
      </c>
      <c r="E7" s="2" t="s">
        <v>33</v>
      </c>
      <c r="G7" s="2" t="str">
        <f t="shared" si="2"/>
        <v>general/red_dot.xlsx</v>
      </c>
      <c r="K7" s="2" t="s">
        <v>34</v>
      </c>
      <c r="M7" s="2" t="str">
        <f t="shared" si="3"/>
        <v>red_dot_config_container</v>
      </c>
    </row>
    <row r="8" spans="1:13">
      <c r="B8" s="2" t="str">
        <f t="shared" si="1"/>
        <v>game.item_config_container</v>
      </c>
      <c r="C8" s="2" t="str">
        <f t="shared" si="0"/>
        <v>item_config</v>
      </c>
      <c r="D8" s="2" t="b">
        <v>1</v>
      </c>
      <c r="E8" s="2" t="s">
        <v>35</v>
      </c>
      <c r="G8" s="2" t="str">
        <f t="shared" si="2"/>
        <v>general/item.xlsx</v>
      </c>
      <c r="K8" s="2" t="s">
        <v>36</v>
      </c>
      <c r="M8" s="2" t="str">
        <f t="shared" si="3"/>
        <v>item_config_container</v>
      </c>
    </row>
    <row r="9" spans="1:13">
      <c r="B9" s="2" t="str">
        <f t="shared" si="1"/>
        <v>game.develop_config_container</v>
      </c>
      <c r="C9" s="2" t="str">
        <f t="shared" si="0"/>
        <v>develop_config</v>
      </c>
      <c r="D9" s="2" t="b">
        <v>1</v>
      </c>
      <c r="E9" s="2" t="s">
        <v>37</v>
      </c>
      <c r="G9" s="2" t="str">
        <f t="shared" si="2"/>
        <v>general/develop.xlsx</v>
      </c>
      <c r="K9" s="2" t="s">
        <v>38</v>
      </c>
      <c r="M9" s="2" t="str">
        <f t="shared" si="3"/>
        <v>develop_config_container</v>
      </c>
    </row>
    <row r="10" spans="1:13">
      <c r="B10" s="2" t="str">
        <f t="shared" si="1"/>
        <v/>
      </c>
      <c r="C10" s="2" t="str">
        <f t="shared" si="0"/>
        <v/>
      </c>
      <c r="G10" s="2" t="str">
        <f t="shared" si="2"/>
        <v/>
      </c>
      <c r="M10" s="2" t="str">
        <f t="shared" si="3"/>
        <v/>
      </c>
    </row>
    <row r="11" spans="1:13">
      <c r="B11" s="2" t="str">
        <f t="shared" si="1"/>
        <v>game.rename_cost_config_container</v>
      </c>
      <c r="C11" s="2" t="str">
        <f t="shared" si="0"/>
        <v>rename_cost_config</v>
      </c>
      <c r="D11" s="2" t="b">
        <v>1</v>
      </c>
      <c r="E11" s="2" t="s">
        <v>39</v>
      </c>
      <c r="G11" s="2" t="str">
        <f t="shared" si="2"/>
        <v>general/rename_cost.xlsx</v>
      </c>
      <c r="K11" s="2" t="s">
        <v>40</v>
      </c>
      <c r="M11" s="2" t="str">
        <f t="shared" si="3"/>
        <v>rename_cost_config_container</v>
      </c>
    </row>
    <row r="14" customHeight="1"/>
    <row r="15" customHeight="1"/>
    <row r="16" customHeight="1"/>
    <row r="17" customHeight="1"/>
    <row r="18" customHeight="1"/>
    <row r="19" customHeight="1"/>
    <row r="20" customHeight="1"/>
    <row r="21" customHeight="1"/>
    <row r="22" customHeight="1"/>
    <row r="23" customHeight="1"/>
    <row r="24" customHeight="1"/>
    <row r="25" customHeight="1"/>
    <row r="26" customHeight="1"/>
    <row r="27" customHeight="1"/>
    <row r="28" customHeight="1"/>
    <row r="29" customHeight="1"/>
    <row r="30" customHeight="1"/>
    <row r="31" customHeight="1"/>
    <row r="32" customHeight="1"/>
    <row r="33" customHeight="1"/>
    <row r="34" customHeight="1"/>
    <row r="35" customHeight="1"/>
    <row r="36" customHeight="1"/>
    <row r="37" customHeight="1"/>
    <row r="38" customHeight="1"/>
    <row r="39" customHeight="1"/>
    <row r="40" customHeight="1"/>
    <row r="41" customHeight="1"/>
    <row r="42" customHeight="1"/>
    <row r="43" customHeight="1"/>
    <row r="44" customHeight="1"/>
    <row r="45" customHeight="1"/>
    <row r="46" customHeight="1"/>
    <row r="47" customHeight="1"/>
    <row r="48" customHeight="1"/>
    <row r="49" customHeight="1"/>
    <row r="50" customHeight="1"/>
    <row r="51" customHeight="1"/>
    <row r="52" customHeight="1"/>
    <row r="53" customHeight="1"/>
    <row r="54" customHeight="1"/>
    <row r="55" customHeight="1"/>
    <row r="56" customHeight="1"/>
    <row r="57" customHeight="1"/>
    <row r="58" customHeight="1"/>
    <row r="59" customHeight="1"/>
    <row r="60" customHeight="1"/>
    <row r="61" customHeight="1"/>
    <row r="62" customHeight="1"/>
    <row r="63" customHeight="1"/>
    <row r="64" customHeight="1"/>
    <row r="65" customHeight="1"/>
    <row r="66" customHeight="1"/>
    <row r="67" customHeight="1"/>
    <row r="68" customHeight="1"/>
    <row r="69" customHeight="1"/>
    <row r="70" customHeight="1"/>
    <row r="71" customHeight="1"/>
    <row r="72" customHeight="1"/>
    <row r="73" customHeight="1"/>
    <row r="74" customHeight="1"/>
    <row r="75" customHeight="1"/>
    <row r="76" customHeight="1"/>
    <row r="77" customHeight="1"/>
    <row r="78" customHeight="1"/>
    <row r="79" customHeight="1"/>
    <row r="80" customHeight="1"/>
    <row r="81" customHeight="1"/>
    <row r="82" customHeight="1"/>
    <row r="83" customHeight="1"/>
    <row r="84" customHeight="1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customHeight="1"/>
    <row r="95" customHeight="1"/>
    <row r="96" customHeight="1"/>
    <row r="97" customHeight="1"/>
    <row r="98" customHeight="1"/>
    <row r="99" customHeight="1"/>
    <row r="100" customHeight="1"/>
    <row r="101" customHeight="1"/>
    <row r="102" customHeight="1"/>
    <row r="103" customHeight="1"/>
    <row r="104" customHeight="1"/>
    <row r="105" customHeight="1"/>
    <row r="106" customHeight="1"/>
    <row r="107" customHeight="1"/>
    <row r="108" customHeight="1"/>
    <row r="109" customHeight="1"/>
    <row r="110" customHeight="1"/>
    <row r="111" customHeight="1"/>
    <row r="112" customHeight="1"/>
    <row r="113" customHeight="1"/>
    <row r="114" customHeight="1"/>
    <row r="115" customHeight="1"/>
    <row r="116" customHeight="1"/>
    <row r="117" customHeight="1"/>
    <row r="118" customHeight="1"/>
    <row r="119" customHeight="1"/>
    <row r="120" customHeight="1"/>
    <row r="121" customHeight="1"/>
    <row r="122" customHeight="1"/>
    <row r="123" customHeight="1"/>
    <row r="124" customHeight="1"/>
    <row r="125" customHeight="1"/>
    <row r="126" customHeight="1"/>
    <row r="127" customHeight="1"/>
    <row r="128" customHeight="1"/>
    <row r="129" customHeight="1"/>
    <row r="130" customHeight="1"/>
    <row r="131" customHeight="1"/>
    <row r="132" customHeight="1"/>
    <row r="133" customHeight="1"/>
    <row r="134" customHeight="1"/>
    <row r="135" customHeight="1"/>
    <row r="136" customHeight="1"/>
    <row r="137" customHeight="1"/>
    <row r="138" customHeight="1"/>
    <row r="139" customHeight="1"/>
    <row r="140" customHeight="1"/>
    <row r="141" customHeight="1"/>
    <row r="142" customHeight="1"/>
    <row r="143" customHeight="1"/>
    <row r="144" customHeight="1"/>
    <row r="145" customHeight="1"/>
    <row r="146" customHeight="1"/>
    <row r="147" customHeight="1"/>
    <row r="148" customHeight="1"/>
    <row r="149" customHeight="1"/>
    <row r="150" customHeight="1"/>
    <row r="151" customHeight="1"/>
    <row r="152" customHeight="1"/>
    <row r="153" customHeight="1"/>
    <row r="154" customHeight="1"/>
    <row r="155" customHeight="1"/>
    <row r="156" customHeight="1"/>
    <row r="157" customHeight="1"/>
    <row r="158" customHeight="1"/>
    <row r="159" customHeight="1"/>
    <row r="160" customHeight="1"/>
    <row r="161" customHeight="1"/>
    <row r="162" customHeight="1"/>
    <row r="163" customHeight="1"/>
    <row r="164" customHeight="1"/>
    <row r="165" customHeight="1"/>
    <row r="166" customHeight="1"/>
    <row r="167" customHeight="1"/>
    <row r="168" customHeight="1"/>
    <row r="169" customHeight="1"/>
    <row r="170" customHeight="1"/>
    <row r="171" customHeight="1"/>
    <row r="172" customHeight="1"/>
    <row r="173" customHeight="1"/>
    <row r="174" customHeight="1"/>
    <row r="175" customHeight="1"/>
  </sheetData>
  <conditionalFormatting sqref="C5:C11">
    <cfRule type="duplicateValues" dxfId="0" priority="2"/>
  </conditionalFormatting>
  <conditionalFormatting sqref="C1:C4 C14:C1048576">
    <cfRule type="duplicateValues" dxfId="0" priority="101"/>
  </conditionalFormatting>
  <pageMargins left="0.7" right="0.7" top="0.75" bottom="0.75" header="0.3" footer="0.3"/>
  <pageSetup paperSize="9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太一</cp:lastModifiedBy>
  <cp:revision>0</cp:revision>
  <dcterms:created xsi:type="dcterms:W3CDTF">2021-08-02T03:12:00Z</dcterms:created>
  <dcterms:modified xsi:type="dcterms:W3CDTF">2026-01-03T04:19:31Z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60F2A594850D46FE8A448F90AC881810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