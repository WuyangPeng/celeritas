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<sst xmlns="http://schemas.openxmlformats.org/spreadsheetml/2006/main" count="50" uniqueCount="47">
  <si>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</si>
  <si>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</si>
  <si>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</si>
  <si>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</si>
  <si>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</si>
  <si>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</si>
  <si>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</si>
  <si>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</si>
  <si>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</si>
  <si>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</si>
  <si>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</si>
  <si>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</si>
  <si>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</si>
  <si>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</si>
  <si>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</si>
  <si>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</si>
  <si>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</si>
  <si>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</si>
  <si>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</si>
  <si>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</si>
  <si>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</si>
  <si>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</si>
  <si>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</si>
  <si>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</si>
  <si>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</si>
  <si>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</si>
  <si>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</si>
  <si>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</si>
  <si>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</si>
  <si>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</si>
  <si>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</si>
  <si>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</si>
  <si>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</si>
  <si>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</si>
  <si>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</si>
  <si>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rename_cost</t>
  </si>
  <si>
    <t>改名消耗</t>
  </si>
  <si>
    <t>item</t>
  </si>
  <si>
    <t>物品</t>
  </si>
  <si>
    <t>default_item</t>
  </si>
  <si>
    <t>默认物品</t>
  </si>
  <si>
    <t>develop</t>
  </si>
  <si>
    <t>养成</t>
  </si>
  <si>
    <t>develop_level</t>
  </si>
  <si>
    <t>养成升级</t>
  </si>
  <si>
    <t>task</t>
  </si>
  <si>
    <t>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</si>
</sst>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5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D16" sqref="D16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>IF(M6&lt;&gt;"","game."&amp;M6,"")</f>
        <v>game.name_config_container</v>
      </c>
      <c r="C6" s="2" t="str">
        <f>IF(E6&lt;&gt;"",E6&amp;"_config","")</f>
        <v>name_config</v>
      </c>
      <c r="D6" s="2" t="b">
        <v>1</v>
      </c>
      <c r="E6" s="2" t="s">
        <v>4</v>
      </c>
      <c r="G6" s="2" t="str">
        <f>IF(E6&lt;&gt;"","general/"&amp;E6&amp;".xlsx","")</f>
        <v>general/name.xlsx</v>
      </c>
      <c r="K6" s="2" t="s">
        <v>32</v>
      </c>
      <c r="M6" s="2" t="str">
        <f>IF(C6&lt;&gt;"",C6&amp;"_container","")</f>
        <v>name_config_container</v>
      </c>
    </row>
    <row r="7" spans="1:13">
      <c r="B7" s="2" t="str">
        <f>IF(M7&lt;&gt;"","game."&amp;M7,"")</f>
        <v>game.red_dot_config_container</v>
      </c>
      <c r="C7" s="2" t="str">
        <f>IF(E7&lt;&gt;"",E7&amp;"_config","")</f>
        <v>red_dot_config</v>
      </c>
      <c r="D7" s="2" t="b">
        <v>1</v>
      </c>
      <c r="E7" s="2" t="s">
        <v>33</v>
      </c>
      <c r="G7" s="2" t="str">
        <f>IF(E7&lt;&gt;"","general/"&amp;E7&amp;".xlsx","")</f>
        <v>general/red_dot.xlsx</v>
      </c>
      <c r="K7" s="2" t="s">
        <v>34</v>
      </c>
      <c r="M7" s="2" t="str">
        <f>IF(C7&lt;&gt;"",C7&amp;"_container","")</f>
        <v>red_dot_config_container</v>
      </c>
    </row>
    <row r="9" spans="1:13">
      <c r="B9" s="2" t="str">
        <f>IF(M9&lt;&gt;"","game."&amp;M9,"")</f>
        <v>game.rename_cost_config_container</v>
      </c>
      <c r="C9" s="2" t="str">
        <f>IF(E9&lt;&gt;"",E9&amp;"_config","")</f>
        <v>rename_cost_config</v>
      </c>
      <c r="D9" s="2" t="b">
        <v>1</v>
      </c>
      <c r="E9" s="2" t="s">
        <v>35</v>
      </c>
      <c r="G9" s="2" t="str">
        <f>IF(E9&lt;&gt;"","general/"&amp;E9&amp;".xlsx","")</f>
        <v>general/rename_cost.xlsx</v>
      </c>
      <c r="K9" s="2" t="s">
        <v>36</v>
      </c>
      <c r="M9" s="2" t="str">
        <f>IF(C9&lt;&gt;"",C9&amp;"_container","")</f>
        <v>rename_cost_config_container</v>
      </c>
    </row>
    <row r="11" spans="1:13">
      <c r="B11" s="2" t="str">
        <f>IF(M11&lt;&gt;"","game."&amp;M11,"")</f>
        <v>game.item_config_container</v>
      </c>
      <c r="C11" s="2" t="str">
        <f>IF(E11&lt;&gt;"",E11&amp;"_config","")</f>
        <v>item_config</v>
      </c>
      <c r="D11" s="2" t="b">
        <v>1</v>
      </c>
      <c r="E11" s="2" t="s">
        <v>37</v>
      </c>
      <c r="G11" s="2" t="str">
        <f>IF(E11&lt;&gt;"","general/"&amp;E11&amp;".xlsx","")</f>
        <v>general/item.xlsx</v>
      </c>
      <c r="K11" s="2" t="s">
        <v>38</v>
      </c>
      <c r="M11" s="2" t="str">
        <f>IF(C11&lt;&gt;"",C11&amp;"_container","")</f>
        <v>item_config_container</v>
      </c>
    </row>
    <row r="12" spans="1:13">
      <c r="B12" s="2" t="str">
        <f>IF(M12&lt;&gt;"","game."&amp;M12,"")</f>
        <v>game.default_item_config_container</v>
      </c>
      <c r="C12" s="2" t="str">
        <f t="shared" ref="C12:C17" si="0">IF(E12&lt;&gt;"",E12&amp;"_config","")</f>
        <v>default_item_config</v>
      </c>
      <c r="D12" s="2" t="b">
        <v>1</v>
      </c>
      <c r="E12" s="2" t="s">
        <v>39</v>
      </c>
      <c r="G12" s="2" t="str">
        <f>IF(E12&lt;&gt;"","general/"&amp;E12&amp;".xlsx","")</f>
        <v>general/default_item.xlsx</v>
      </c>
      <c r="K12" s="2" t="s">
        <v>40</v>
      </c>
      <c r="M12" s="2" t="str">
        <f>IF(C12&lt;&gt;"",C12&amp;"_container","")</f>
        <v>default_item_config_container</v>
      </c>
    </row>
    <row r="13" customHeight="1"/>
    <row r="14" spans="1:13">
      <c r="B14" s="2" t="str">
        <f>IF(M14&lt;&gt;"","game."&amp;M14,"")</f>
        <v>game.develop_config_container</v>
      </c>
      <c r="C14" s="2" t="str">
        <f t="shared" si="0"/>
        <v>develop_config</v>
      </c>
      <c r="D14" s="2" t="b">
        <v>1</v>
      </c>
      <c r="E14" s="2" t="s">
        <v>41</v>
      </c>
      <c r="G14" s="2" t="str">
        <f>IF(E14&lt;&gt;"","general/"&amp;E14&amp;".xlsx","")</f>
        <v>general/develop.xlsx</v>
      </c>
      <c r="K14" s="2" t="s">
        <v>42</v>
      </c>
      <c r="M14" s="2" t="str">
        <f>IF(C14&lt;&gt;"",C14&amp;"_container","")</f>
        <v>develop_config_container</v>
      </c>
    </row>
    <row r="15" customHeight="1" spans="1:13">
      <c r="B15" s="2" t="str">
        <f>IF(M15&lt;&gt;"","game."&amp;M15,"")</f>
        <v>game.develop_level_config_container</v>
      </c>
      <c r="C15" s="2" t="str">
        <f t="shared" si="0"/>
        <v>develop_level_config</v>
      </c>
      <c r="D15" s="2" t="b">
        <v>1</v>
      </c>
      <c r="E15" s="2" t="s">
        <v>43</v>
      </c>
      <c r="G15" s="2" t="str">
        <f>IF(E15&lt;&gt;"","general/"&amp;E15&amp;".xlsx","")</f>
        <v>general/develop_level.xlsx</v>
      </c>
      <c r="K15" s="2" t="s">
        <v>44</v>
      </c>
      <c r="M15" s="2" t="str">
        <f>IF(C15&lt;&gt;"",C15&amp;"_container","")</f>
        <v>develop_level_config_container</v>
      </c>
    </row>
    <row r="16" customHeight="1" spans="1:13">
      <c r="B16" s="2" t="str">
        <f>IF(M16&lt;&gt;"","game."&amp;M16,"")</f>
        <v/>
      </c>
      <c r="C16" s="2" t="str">
        <f t="shared" si="0"/>
        <v/>
      </c>
      <c r="G16" s="2" t="str">
        <f>IF(E16&lt;&gt;"","general/"&amp;E16&amp;".xlsx","")</f>
        <v/>
      </c>
      <c r="M16" s="2" t="str">
        <f>IF(C16&lt;&gt;"",C16&amp;"_container","")</f>
        <v/>
      </c>
    </row>
    <row r="17" customHeight="1" spans="2:13">
      <c r="B17" s="2" t="str">
        <f>IF(M17&lt;&gt;"","game."&amp;M17,"")</f>
        <v>game.task_config_container</v>
      </c>
      <c r="C17" s="2" t="str">
        <f t="shared" si="0"/>
        <v>task_config</v>
      </c>
      <c r="D17" s="2" t="b">
        <v>1</v>
      </c>
      <c r="E17" s="2" t="s">
        <v>45</v>
      </c>
      <c r="G17" s="2" t="str">
        <f>IF(E17&lt;&gt;"","general/"&amp;E17&amp;".xlsx","")</f>
        <v>general/task.xlsx</v>
      </c>
      <c r="K17" s="2" t="s">
        <v>46</v>
      </c>
      <c r="M17" s="2" t="str">
        <f>IF(C17&lt;&gt;"",C17&amp;"_container","")</f>
        <v>task_config_container</v>
      </c>
    </row>
    <row r="18" customHeight="1"/>
    <row r="19" customHeight="1"/>
    <row r="20" customHeight="1"/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</sheetData>
  <conditionalFormatting sqref="C1:C4 C13 C18:C1048576">
    <cfRule type="duplicateValues" dxfId="0" priority="102"/>
  </conditionalFormatting>
  <conditionalFormatting sqref="C5:C7 C9:C12 C14:C17">
    <cfRule type="duplicateValues" dxfId="0" priority="3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2026-02-04T04:55:50Z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