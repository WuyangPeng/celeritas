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<sst xmlns="http://schemas.openxmlformats.org/spreadsheetml/2006/main" count="60" uniqueCount="57">
  <si>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##var</t>
  </si>
  <si>
    <t>full_name</t>
  </si>
  <si>
    <t>value_type</t>
  </si>
  <si>
    <t>read_schema_from_file</t>
  </si>
  <si>
    <t>name</t>
  </si>
  <si>
    <t>##</t>
  </si>
  <si>
    <t>input</t>
  </si>
  <si>
    <t>index</t>
  </si>
  <si>
    <t>mode</t>
  </si>
  <si>
    <t>group</t>
  </si>
  <si>
    <t>comment</t>
  </si>
  <si>
    <t>tags</t>
  </si>
  <si>
    <t>output</t>
  </si>
  <si>
    <t>全名(包含模块和名字)</t>
  </si>
  <si>
    <t>记录类名</t>
  </si>
  <si>
    <t>从excel读取定义</t>
  </si>
  <si>
    <t>基础名字</t>
  </si>
  <si>
    <t>备注：表名称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</si>
  <si>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</si>
  <si>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</si>
  <si>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</si>
  <si>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</si>
  <si>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</si>
  <si>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</si>
  <si>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</si>
  <si>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用途说明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</si>
  <si>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</si>
  <si>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</si>
  <si>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</si>
  <si>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</si>
  <si>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surname</t>
  </si>
  <si>
    <t>姓氏</t>
  </si>
  <si>
    <t>名字</t>
  </si>
  <si>
    <t>red_dot</t>
  </si>
  <si>
    <t>红点</t>
  </si>
  <si>
    <t>rename_cost</t>
  </si>
  <si>
    <t>改名消耗</t>
  </si>
  <si>
    <t>item</t>
  </si>
  <si>
    <t>物品</t>
  </si>
  <si>
    <t>default_item</t>
  </si>
  <si>
    <t>默认物品</t>
  </si>
  <si>
    <t>avatar</t>
  </si>
  <si>
    <t>头像</t>
  </si>
  <si>
    <t>frame</t>
  </si>
  <si>
    <t>头像框</t>
  </si>
  <si>
    <t>title</t>
  </si>
  <si>
    <t>称号</t>
  </si>
  <si>
    <t>hero</t>
  </si>
  <si>
    <t>英雄</t>
  </si>
  <si>
    <t>building</t>
  </si>
  <si>
    <t>建筑</t>
  </si>
  <si>
    <t>develop</t>
  </si>
  <si>
    <t>养成</t>
  </si>
  <si>
    <t>develop_level</t>
  </si>
  <si>
    <t>养成升级</t>
  </si>
  <si>
    <t>task</t>
  </si>
  <si>
    <t>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</si>
</sst>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1"/>
      <color rgb="FF00610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等线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" borderId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2" borderId="0" xfId="22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77"/>
  <sheetViews>
    <sheetView tabSelected="1" workbookViewId="0">
      <pane xSplit="3" ySplit="4" topLeftCell="I5" activePane="bottomRight" state="frozen"/>
      <selection/>
      <selection pane="topRight"/>
      <selection pane="bottomLeft"/>
      <selection pane="bottomRight" activeCell="K17" sqref="K17"/>
    </sheetView>
  </sheetViews>
  <sheetFormatPr defaultColWidth="9" defaultRowHeight="16.5"/>
  <cols>
    <col min="1" max="1" width="9" style="2"/>
    <col min="2" max="2" width="42.7142857142857" style="2" customWidth="1"/>
    <col min="3" max="3" width="38.7142857142857" style="2" customWidth="1"/>
    <col min="4" max="5" width="61.8571428571429" style="2" customWidth="1"/>
    <col min="6" max="6" width="54.4285714285714" style="2" customWidth="1"/>
    <col min="7" max="7" width="49" style="2" customWidth="1"/>
    <col min="8" max="8" width="69.4285714285714" style="2" customWidth="1"/>
    <col min="9" max="9" width="51.5714285714286" style="2" customWidth="1"/>
    <col min="10" max="10" width="61" style="2" customWidth="1"/>
    <col min="11" max="11" width="18" style="2" customWidth="1"/>
    <col min="12" max="12" width="12.8571428571429" style="2" customWidth="1"/>
    <col min="13" max="13" width="35.1428571428571" style="2" customWidth="1"/>
    <col min="14" max="16384" width="9" style="2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5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M2" s="1" t="s">
        <v>23</v>
      </c>
    </row>
    <row r="3" s="1" customFormat="1" spans="1:13">
      <c r="A3" s="1" t="s">
        <v>5</v>
      </c>
      <c r="D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3">
      <c r="M4" s="2" t="str">
        <f>SUBSTITUTE(SUBSTITUTE(B4,"_",""),".","")</f>
        <v/>
      </c>
    </row>
    <row r="5" spans="1:13">
      <c r="B5" s="2" t="str">
        <f>IF(M5&lt;&gt;"","game."&amp;M5,"")</f>
        <v>game.surname_config_container</v>
      </c>
      <c r="C5" s="2" t="str">
        <f>IF(E5&lt;&gt;"",E5&amp;"_config","")</f>
        <v>surname_config</v>
      </c>
      <c r="D5" s="2" t="b">
        <v>1</v>
      </c>
      <c r="E5" s="2" t="s">
        <v>30</v>
      </c>
      <c r="G5" s="2" t="str">
        <f>IF(E5&lt;&gt;"","general/"&amp;E5&amp;".xlsx","")</f>
        <v>general/surname.xlsx</v>
      </c>
      <c r="K5" s="2" t="s">
        <v>31</v>
      </c>
      <c r="M5" s="2" t="str">
        <f>IF(C5&lt;&gt;"",C5&amp;"_container","")</f>
        <v>surname_config_container</v>
      </c>
    </row>
    <row r="6" spans="1:13">
      <c r="B6" s="2" t="str">
        <f>IF(M6&lt;&gt;"","game."&amp;M6,"")</f>
        <v>game.name_config_container</v>
      </c>
      <c r="C6" s="2" t="str">
        <f>IF(E6&lt;&gt;"",E6&amp;"_config","")</f>
        <v>name_config</v>
      </c>
      <c r="D6" s="2" t="b">
        <v>1</v>
      </c>
      <c r="E6" s="2" t="s">
        <v>4</v>
      </c>
      <c r="G6" s="2" t="str">
        <f>IF(E6&lt;&gt;"","general/"&amp;E6&amp;".xlsx","")</f>
        <v>general/name.xlsx</v>
      </c>
      <c r="K6" s="2" t="s">
        <v>32</v>
      </c>
      <c r="M6" s="2" t="str">
        <f>IF(C6&lt;&gt;"",C6&amp;"_container","")</f>
        <v>name_config_container</v>
      </c>
    </row>
    <row r="7" spans="1:13">
      <c r="B7" s="2" t="str">
        <f>IF(M7&lt;&gt;"","game."&amp;M7,"")</f>
        <v>game.red_dot_config_container</v>
      </c>
      <c r="C7" s="2" t="str">
        <f>IF(E7&lt;&gt;"",E7&amp;"_config","")</f>
        <v>red_dot_config</v>
      </c>
      <c r="D7" s="2" t="b">
        <v>1</v>
      </c>
      <c r="E7" s="2" t="s">
        <v>33</v>
      </c>
      <c r="G7" s="2" t="str">
        <f>IF(E7&lt;&gt;"","general/"&amp;E7&amp;".xlsx","")</f>
        <v>general/red_dot.xlsx</v>
      </c>
      <c r="K7" s="2" t="s">
        <v>34</v>
      </c>
      <c r="M7" s="2" t="str">
        <f>IF(C7&lt;&gt;"",C7&amp;"_container","")</f>
        <v>red_dot_config_container</v>
      </c>
    </row>
    <row r="9" spans="1:13">
      <c r="B9" s="2" t="str">
        <f>IF(M9&lt;&gt;"","game."&amp;M9,"")</f>
        <v>game.rename_cost_config_container</v>
      </c>
      <c r="C9" s="2" t="str">
        <f>IF(E9&lt;&gt;"",E9&amp;"_config","")</f>
        <v>rename_cost_config</v>
      </c>
      <c r="D9" s="2" t="b">
        <v>1</v>
      </c>
      <c r="E9" s="2" t="s">
        <v>35</v>
      </c>
      <c r="G9" s="2" t="str">
        <f>IF(E9&lt;&gt;"","general/"&amp;E9&amp;".xlsx","")</f>
        <v>general/rename_cost.xlsx</v>
      </c>
      <c r="K9" s="2" t="s">
        <v>36</v>
      </c>
      <c r="M9" s="2" t="str">
        <f>IF(C9&lt;&gt;"",C9&amp;"_container","")</f>
        <v>rename_cost_config_container</v>
      </c>
    </row>
    <row r="11" spans="1:13">
      <c r="B11" s="2" t="str">
        <f t="shared" ref="B11:B16" si="0">IF(M11&lt;&gt;"","game."&amp;M11,"")</f>
        <v>game.item_config_container</v>
      </c>
      <c r="C11" s="2" t="str">
        <f t="shared" ref="C11:C16" si="1">IF(E11&lt;&gt;"",E11&amp;"_config","")</f>
        <v>item_config</v>
      </c>
      <c r="D11" s="2" t="b">
        <v>1</v>
      </c>
      <c r="E11" s="2" t="s">
        <v>37</v>
      </c>
      <c r="G11" s="2" t="str">
        <f t="shared" ref="G11:G16" si="2">IF(E11&lt;&gt;"","general/"&amp;E11&amp;".xlsx","")</f>
        <v>general/item.xlsx</v>
      </c>
      <c r="K11" s="2" t="s">
        <v>38</v>
      </c>
      <c r="M11" s="2" t="str">
        <f t="shared" ref="M11:M16" si="3">IF(C11&lt;&gt;"",C11&amp;"_container","")</f>
        <v>item_config_container</v>
      </c>
    </row>
    <row r="12" spans="1:13">
      <c r="B12" s="2" t="str">
        <f t="shared" si="0"/>
        <v>game.default_item_config_container</v>
      </c>
      <c r="C12" s="2" t="str">
        <f t="shared" si="1"/>
        <v>default_item_config</v>
      </c>
      <c r="D12" s="2" t="b">
        <v>1</v>
      </c>
      <c r="E12" s="2" t="s">
        <v>39</v>
      </c>
      <c r="G12" s="2" t="str">
        <f t="shared" si="2"/>
        <v>general/default_item.xlsx</v>
      </c>
      <c r="K12" s="2" t="s">
        <v>40</v>
      </c>
      <c r="M12" s="2" t="str">
        <f t="shared" si="3"/>
        <v>default_item_config_container</v>
      </c>
    </row>
    <row r="13" customHeight="1" spans="1:13">
      <c r="B13" s="2" t="str">
        <f t="shared" si="0"/>
        <v>game.avatar_config_container</v>
      </c>
      <c r="C13" s="2" t="str">
        <f t="shared" si="1"/>
        <v>avatar_config</v>
      </c>
      <c r="D13" s="2" t="b">
        <v>1</v>
      </c>
      <c r="E13" s="2" t="s">
        <v>41</v>
      </c>
      <c r="G13" s="2" t="str">
        <f t="shared" si="2"/>
        <v>general/avatar.xlsx</v>
      </c>
      <c r="K13" s="2" t="s">
        <v>42</v>
      </c>
      <c r="M13" s="2" t="str">
        <f t="shared" si="3"/>
        <v>avatar_config_container</v>
      </c>
    </row>
    <row r="14" customHeight="1" spans="1:13">
      <c r="B14" s="2" t="str">
        <f t="shared" si="0"/>
        <v>game.frame_config_container</v>
      </c>
      <c r="C14" s="2" t="str">
        <f t="shared" si="1"/>
        <v>frame_config</v>
      </c>
      <c r="D14" s="2" t="b">
        <v>1</v>
      </c>
      <c r="E14" s="2" t="s">
        <v>43</v>
      </c>
      <c r="G14" s="2" t="str">
        <f t="shared" si="2"/>
        <v>general/frame.xlsx</v>
      </c>
      <c r="K14" s="2" t="s">
        <v>44</v>
      </c>
      <c r="M14" s="2" t="str">
        <f t="shared" si="3"/>
        <v>frame_config_container</v>
      </c>
    </row>
    <row r="15" customHeight="1" spans="1:13">
      <c r="B15" s="2" t="str">
        <f t="shared" si="0"/>
        <v>game.title_config_container</v>
      </c>
      <c r="C15" s="2" t="str">
        <f t="shared" si="1"/>
        <v>title_config</v>
      </c>
      <c r="D15" s="2" t="b">
        <v>1</v>
      </c>
      <c r="E15" s="2" t="s">
        <v>45</v>
      </c>
      <c r="G15" s="2" t="str">
        <f t="shared" si="2"/>
        <v>general/title.xlsx</v>
      </c>
      <c r="K15" s="2" t="s">
        <v>46</v>
      </c>
      <c r="M15" s="2" t="str">
        <f t="shared" si="3"/>
        <v>title_config_container</v>
      </c>
    </row>
    <row r="16" customHeight="1" spans="1:13">
      <c r="B16" s="2" t="str">
        <f t="shared" si="0"/>
        <v>game.hero_config_container</v>
      </c>
      <c r="C16" s="2" t="str">
        <f t="shared" si="1"/>
        <v>hero_config</v>
      </c>
      <c r="D16" s="2" t="b">
        <v>1</v>
      </c>
      <c r="E16" s="2" t="s">
        <v>47</v>
      </c>
      <c r="G16" s="2" t="str">
        <f t="shared" si="2"/>
        <v>general/hero.xlsx</v>
      </c>
      <c r="K16" s="2" t="s">
        <v>48</v>
      </c>
      <c r="M16" s="2" t="str">
        <f t="shared" si="3"/>
        <v>hero_config_container</v>
      </c>
    </row>
    <row r="17" customHeight="1" spans="2:13">
      <c r="B17" s="2" t="str">
        <f>IF(M17&lt;&gt;"","game."&amp;M17,"")</f>
        <v>game.building_config_container</v>
      </c>
      <c r="C17" s="2" t="str">
        <f>IF(E17&lt;&gt;"",E17&amp;"_config","")</f>
        <v>building_config</v>
      </c>
      <c r="D17" s="2" t="b">
        <v>1</v>
      </c>
      <c r="E17" s="2" t="s">
        <v>49</v>
      </c>
      <c r="G17" s="2" t="str">
        <f>IF(E17&lt;&gt;"","general/"&amp;E17&amp;".xlsx","")</f>
        <v>general/building.xlsx</v>
      </c>
      <c r="K17" s="2" t="s">
        <v>50</v>
      </c>
      <c r="M17" s="2" t="str">
        <f>IF(C17&lt;&gt;"",C17&amp;"_container","")</f>
        <v>building_config_container</v>
      </c>
    </row>
    <row r="18" customHeight="1"/>
    <row r="19" spans="2:13">
      <c r="B19" s="2" t="str">
        <f>IF(M19&lt;&gt;"","game."&amp;M19,"")</f>
        <v>game.develop_config_container</v>
      </c>
      <c r="C19" s="2" t="str">
        <f>IF(E19&lt;&gt;"",E19&amp;"_config","")</f>
        <v>develop_config</v>
      </c>
      <c r="D19" s="2" t="b">
        <v>1</v>
      </c>
      <c r="E19" s="2" t="s">
        <v>51</v>
      </c>
      <c r="G19" s="2" t="str">
        <f>IF(E19&lt;&gt;"","general/"&amp;E19&amp;".xlsx","")</f>
        <v>general/develop.xlsx</v>
      </c>
      <c r="K19" s="2" t="s">
        <v>52</v>
      </c>
      <c r="M19" s="2" t="str">
        <f>IF(C19&lt;&gt;"",C19&amp;"_container","")</f>
        <v>develop_config_container</v>
      </c>
    </row>
    <row r="20" customHeight="1" spans="2:13">
      <c r="B20" s="2" t="str">
        <f>IF(M20&lt;&gt;"","game."&amp;M20,"")</f>
        <v>game.develop_level_config_container</v>
      </c>
      <c r="C20" s="2" t="str">
        <f>IF(E20&lt;&gt;"",E20&amp;"_config","")</f>
        <v>develop_level_config</v>
      </c>
      <c r="D20" s="2" t="b">
        <v>1</v>
      </c>
      <c r="E20" s="2" t="s">
        <v>53</v>
      </c>
      <c r="G20" s="2" t="str">
        <f>IF(E20&lt;&gt;"","general/"&amp;E20&amp;".xlsx","")</f>
        <v>general/develop_level.xlsx</v>
      </c>
      <c r="K20" s="2" t="s">
        <v>54</v>
      </c>
      <c r="M20" s="2" t="str">
        <f>IF(C20&lt;&gt;"",C20&amp;"_container","")</f>
        <v>develop_level_config_container</v>
      </c>
    </row>
    <row r="21" customHeight="1" spans="2:13">
      <c r="B21" s="2" t="str">
        <f>IF(M21&lt;&gt;"","game."&amp;M21,"")</f>
        <v/>
      </c>
      <c r="C21" s="2" t="str">
        <f>IF(E21&lt;&gt;"",E21&amp;"_config","")</f>
        <v/>
      </c>
      <c r="G21" s="2" t="str">
        <f>IF(E21&lt;&gt;"","general/"&amp;E21&amp;".xlsx","")</f>
        <v/>
      </c>
      <c r="M21" s="2" t="str">
        <f>IF(C21&lt;&gt;"",C21&amp;"_container","")</f>
        <v/>
      </c>
    </row>
    <row r="22" customHeight="1" spans="2:13">
      <c r="B22" s="2" t="str">
        <f>IF(M22&lt;&gt;"","game."&amp;M22,"")</f>
        <v>game.task_config_container</v>
      </c>
      <c r="C22" s="2" t="str">
        <f>IF(E22&lt;&gt;"",E22&amp;"_config","")</f>
        <v>task_config</v>
      </c>
      <c r="D22" s="2" t="b">
        <v>1</v>
      </c>
      <c r="E22" s="2" t="s">
        <v>55</v>
      </c>
      <c r="G22" s="2" t="str">
        <f>IF(E22&lt;&gt;"","general/"&amp;E22&amp;".xlsx","")</f>
        <v>general/task.xlsx</v>
      </c>
      <c r="K22" s="2" t="s">
        <v>56</v>
      </c>
      <c r="M22" s="2" t="str">
        <f>IF(C22&lt;&gt;"",C22&amp;"_container","")</f>
        <v>task_config_container</v>
      </c>
    </row>
    <row r="23" customHeight="1" spans="2:13">
      <c r="B23" s="2" t="str">
        <f>IF(M23&lt;&gt;"","game."&amp;M23,"")</f>
        <v/>
      </c>
      <c r="G23" s="2" t="str">
        <f>IF(E23&lt;&gt;"","general/"&amp;E23&amp;".xlsx","")</f>
        <v/>
      </c>
      <c r="M23" s="2" t="str">
        <f>IF(C23&lt;&gt;"",C23&amp;"_container","")</f>
        <v/>
      </c>
    </row>
    <row r="24" customHeight="1"/>
    <row r="25" customHeight="1"/>
    <row r="26" customHeight="1"/>
    <row r="27" customHeight="1"/>
    <row r="28" customHeight="1"/>
    <row r="29" customHeight="1"/>
    <row r="30" customHeight="1"/>
    <row r="31" customHeight="1"/>
    <row r="32" customHeight="1"/>
    <row r="33" customHeight="1"/>
    <row r="34" customHeight="1"/>
    <row r="35" customHeight="1"/>
    <row r="36" customHeight="1"/>
    <row r="37" customHeight="1"/>
    <row r="38" customHeight="1"/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97" customHeight="1"/>
    <row r="98" customHeight="1"/>
    <row r="99" customHeight="1"/>
    <row r="100" customHeight="1"/>
    <row r="101" customHeight="1"/>
    <row r="102" customHeight="1"/>
    <row r="103" customHeight="1"/>
    <row r="104" customHeight="1"/>
    <row r="105" customHeight="1"/>
    <row r="106" customHeight="1"/>
    <row r="107" customHeight="1"/>
    <row r="108" customHeight="1"/>
    <row r="109" customHeight="1"/>
    <row r="110" customHeight="1"/>
    <row r="111" customHeight="1"/>
    <row r="112" customHeight="1"/>
    <row r="113" customHeight="1"/>
    <row r="114" customHeight="1"/>
    <row r="115" customHeight="1"/>
    <row r="116" customHeight="1"/>
    <row r="117" customHeight="1"/>
    <row r="118" customHeight="1"/>
    <row r="119" customHeight="1"/>
    <row r="120" customHeight="1"/>
    <row r="121" customHeight="1"/>
    <row r="122" customHeight="1"/>
    <row r="123" customHeight="1"/>
    <row r="124" customHeight="1"/>
    <row r="125" customHeight="1"/>
    <row r="126" customHeight="1"/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</sheetData>
  <conditionalFormatting sqref="C13:C17">
    <cfRule type="duplicateValues" dxfId="0" priority="1"/>
  </conditionalFormatting>
  <conditionalFormatting sqref="C1:C4 C18 C23:C1048576">
    <cfRule type="duplicateValues" dxfId="0" priority="103"/>
  </conditionalFormatting>
  <conditionalFormatting sqref="C5:C7 C9:C12 C19:C22">
    <cfRule type="duplicateValues" dxfId="0" priority="4"/>
  </conditionalFormatting>
  <pageMargins left="0.7" right="0.7" top="0.75" bottom="0.75" header="0.3" footer="0.3"/>
  <pageSetup paperSize="9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太一</cp:lastModifiedBy>
  <cp:revision>0</cp:revision>
  <dcterms:created xsi:type="dcterms:W3CDTF">2021-08-02T03:12:00Z</dcterms:created>
  <dcterms:modified xsi:type="dcterms:W3CDTF">2026-03-23T13:44:18Z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60F2A594850D46FE8A448F90AC881810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