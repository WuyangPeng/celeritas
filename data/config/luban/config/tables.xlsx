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<sst xmlns="http://schemas.openxmlformats.org/spreadsheetml/2006/main" count="62" uniqueCount="59">
  <si>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</si>
  <si>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</si>
  <si>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</si>
  <si>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</si>
  <si>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</si>
  <si>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</si>
  <si>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</si>
  <si>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</si>
  <si>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</si>
  <si>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</si>
  <si>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</si>
  <si>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</si>
  <si>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</si>
  <si>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</si>
  <si>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</si>
  <si>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</si>
  <si>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</si>
  <si>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</si>
  <si>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</si>
  <si>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</si>
  <si>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</si>
  <si>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</si>
  <si>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</si>
  <si>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</si>
  <si>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</si>
  <si>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</si>
  <si>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</si>
  <si>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</si>
  <si>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</si>
  <si>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</si>
  <si>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</si>
  <si>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</si>
  <si>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</si>
  <si>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</si>
  <si>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</si>
  <si>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</si>
  <si>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</si>
  <si>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</si>
  <si>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</si>
  <si>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</si>
  <si>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</si>
  <si>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avatar</t>
  </si>
  <si>
    <t>头像</t>
  </si>
  <si>
    <t>frame</t>
  </si>
  <si>
    <t>头像框</t>
  </si>
  <si>
    <t>title</t>
  </si>
  <si>
    <t>称号</t>
  </si>
  <si>
    <t>hero</t>
  </si>
  <si>
    <t>英雄</t>
  </si>
  <si>
    <t>building</t>
  </si>
  <si>
    <t>建筑</t>
  </si>
  <si>
    <t>develop</t>
  </si>
  <si>
    <t>养成</t>
  </si>
  <si>
    <t>develop_level</t>
  </si>
  <si>
    <t>养成升级</t>
  </si>
  <si>
    <t>task</t>
  </si>
  <si>
    <t>任务</t>
  </si>
  <si>
    <t>month</t>
  </si>
  <si>
    <t>月份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</si>
</sst>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7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C21" sqref="C21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 t="shared" ref="B11:B17" si="0">IF(M11&lt;&gt;"","game."&amp;M11,"")</f>
        <v>game.item_config_container</v>
      </c>
      <c r="C11" s="2" t="str">
        <f t="shared" ref="C11:C17" si="1">IF(E11&lt;&gt;"",E11&amp;"_config","")</f>
        <v>item_config</v>
      </c>
      <c r="D11" s="2" t="b">
        <v>1</v>
      </c>
      <c r="E11" s="2" t="s">
        <v>37</v>
      </c>
      <c r="G11" s="2" t="str">
        <f t="shared" ref="G11:G17" si="2">IF(E11&lt;&gt;"","general/"&amp;E11&amp;".xlsx","")</f>
        <v>general/item.xlsx</v>
      </c>
      <c r="K11" s="2" t="s">
        <v>38</v>
      </c>
      <c r="M11" s="2" t="str">
        <f t="shared" ref="M11:M17" si="3">IF(C11&lt;&gt;"",C11&amp;"_container","")</f>
        <v>item_config_container</v>
      </c>
    </row>
    <row r="12" spans="1:13">
      <c r="B12" s="2" t="str">
        <f t="shared" si="0"/>
        <v>game.default_item_config_container</v>
      </c>
      <c r="C12" s="2" t="str">
        <f t="shared" si="1"/>
        <v>default_item_config</v>
      </c>
      <c r="D12" s="2" t="b">
        <v>1</v>
      </c>
      <c r="E12" s="2" t="s">
        <v>39</v>
      </c>
      <c r="G12" s="2" t="str">
        <f t="shared" si="2"/>
        <v>general/default_item.xlsx</v>
      </c>
      <c r="K12" s="2" t="s">
        <v>40</v>
      </c>
      <c r="M12" s="2" t="str">
        <f t="shared" si="3"/>
        <v>default_item_config_container</v>
      </c>
    </row>
    <row r="13" customHeight="1" spans="1:13">
      <c r="B13" s="2" t="str">
        <f t="shared" si="0"/>
        <v>game.avatar_config_container</v>
      </c>
      <c r="C13" s="2" t="str">
        <f t="shared" si="1"/>
        <v>avatar_config</v>
      </c>
      <c r="D13" s="2" t="b">
        <v>1</v>
      </c>
      <c r="E13" s="2" t="s">
        <v>41</v>
      </c>
      <c r="G13" s="2" t="str">
        <f t="shared" si="2"/>
        <v>general/avatar.xlsx</v>
      </c>
      <c r="K13" s="2" t="s">
        <v>42</v>
      </c>
      <c r="M13" s="2" t="str">
        <f t="shared" si="3"/>
        <v>avatar_config_container</v>
      </c>
    </row>
    <row r="14" customHeight="1" spans="1:13">
      <c r="B14" s="2" t="str">
        <f t="shared" si="0"/>
        <v>game.frame_config_container</v>
      </c>
      <c r="C14" s="2" t="str">
        <f t="shared" si="1"/>
        <v>frame_config</v>
      </c>
      <c r="D14" s="2" t="b">
        <v>1</v>
      </c>
      <c r="E14" s="2" t="s">
        <v>43</v>
      </c>
      <c r="G14" s="2" t="str">
        <f t="shared" si="2"/>
        <v>general/frame.xlsx</v>
      </c>
      <c r="K14" s="2" t="s">
        <v>44</v>
      </c>
      <c r="M14" s="2" t="str">
        <f t="shared" si="3"/>
        <v>frame_config_container</v>
      </c>
    </row>
    <row r="15" customHeight="1" spans="1:13">
      <c r="B15" s="2" t="str">
        <f t="shared" si="0"/>
        <v>game.title_config_container</v>
      </c>
      <c r="C15" s="2" t="str">
        <f t="shared" si="1"/>
        <v>title_config</v>
      </c>
      <c r="D15" s="2" t="b">
        <v>1</v>
      </c>
      <c r="E15" s="2" t="s">
        <v>45</v>
      </c>
      <c r="G15" s="2" t="str">
        <f t="shared" si="2"/>
        <v>general/title.xlsx</v>
      </c>
      <c r="K15" s="2" t="s">
        <v>46</v>
      </c>
      <c r="M15" s="2" t="str">
        <f t="shared" si="3"/>
        <v>title_config_container</v>
      </c>
    </row>
    <row r="16" customHeight="1" spans="1:13">
      <c r="B16" s="2" t="str">
        <f t="shared" si="0"/>
        <v>game.hero_config_container</v>
      </c>
      <c r="C16" s="2" t="str">
        <f t="shared" si="1"/>
        <v>hero_config</v>
      </c>
      <c r="D16" s="2" t="b">
        <v>1</v>
      </c>
      <c r="E16" s="2" t="s">
        <v>47</v>
      </c>
      <c r="G16" s="2" t="str">
        <f t="shared" si="2"/>
        <v>general/hero.xlsx</v>
      </c>
      <c r="K16" s="2" t="s">
        <v>48</v>
      </c>
      <c r="M16" s="2" t="str">
        <f t="shared" si="3"/>
        <v>hero_config_container</v>
      </c>
    </row>
    <row r="17" customHeight="1" spans="2:13">
      <c r="B17" s="2" t="str">
        <f t="shared" si="0"/>
        <v>game.building_config_container</v>
      </c>
      <c r="C17" s="2" t="str">
        <f t="shared" si="1"/>
        <v>building_config</v>
      </c>
      <c r="D17" s="2" t="b">
        <v>1</v>
      </c>
      <c r="E17" s="2" t="s">
        <v>49</v>
      </c>
      <c r="G17" s="2" t="str">
        <f t="shared" si="2"/>
        <v>general/building.xlsx</v>
      </c>
      <c r="K17" s="2" t="s">
        <v>50</v>
      </c>
      <c r="M17" s="2" t="str">
        <f t="shared" si="3"/>
        <v>building_config_container</v>
      </c>
    </row>
    <row r="18" customHeight="1"/>
    <row r="19" spans="2:13">
      <c r="B19" s="2" t="str">
        <f>IF(M19&lt;&gt;"","game."&amp;M19,"")</f>
        <v>game.develop_config_container</v>
      </c>
      <c r="C19" s="2" t="str">
        <f>IF(E19&lt;&gt;"",E19&amp;"_config","")</f>
        <v>develop_config</v>
      </c>
      <c r="D19" s="2" t="b">
        <v>1</v>
      </c>
      <c r="E19" s="2" t="s">
        <v>51</v>
      </c>
      <c r="G19" s="2" t="str">
        <f>IF(E19&lt;&gt;"","general/"&amp;E19&amp;".xlsx","")</f>
        <v>general/develop.xlsx</v>
      </c>
      <c r="K19" s="2" t="s">
        <v>52</v>
      </c>
      <c r="M19" s="2" t="str">
        <f>IF(C19&lt;&gt;"",C19&amp;"_container","")</f>
        <v>develop_config_container</v>
      </c>
    </row>
    <row r="20" customHeight="1" spans="2:13">
      <c r="B20" s="2" t="str">
        <f>IF(M20&lt;&gt;"","game."&amp;M20,"")</f>
        <v>game.develop_level_config_container</v>
      </c>
      <c r="C20" s="2" t="str">
        <f>IF(E20&lt;&gt;"",E20&amp;"_config","")</f>
        <v>develop_level_config</v>
      </c>
      <c r="D20" s="2" t="b">
        <v>1</v>
      </c>
      <c r="E20" s="2" t="s">
        <v>53</v>
      </c>
      <c r="G20" s="2" t="str">
        <f>IF(E20&lt;&gt;"","general/"&amp;E20&amp;".xlsx","")</f>
        <v>general/develop_level.xlsx</v>
      </c>
      <c r="K20" s="2" t="s">
        <v>54</v>
      </c>
      <c r="M20" s="2" t="str">
        <f>IF(C20&lt;&gt;"",C20&amp;"_container","")</f>
        <v>develop_level_config_container</v>
      </c>
    </row>
    <row r="21" customHeight="1" spans="2:13">
      <c r="B21" s="2" t="str">
        <f>IF(M21&lt;&gt;"","game."&amp;M21,"")</f>
        <v/>
      </c>
      <c r="C21" s="2" t="str">
        <f>IF(E21&lt;&gt;"",E21&amp;"_config","")</f>
        <v/>
      </c>
      <c r="G21" s="2" t="str">
        <f>IF(E21&lt;&gt;"","general/"&amp;E21&amp;".xlsx","")</f>
        <v/>
      </c>
      <c r="M21" s="2" t="str">
        <f>IF(C21&lt;&gt;"",C21&amp;"_container","")</f>
        <v/>
      </c>
    </row>
    <row r="22" customHeight="1" spans="2:13">
      <c r="B22" s="2" t="str">
        <f>IF(M22&lt;&gt;"","game."&amp;M22,"")</f>
        <v>game.task_config_container</v>
      </c>
      <c r="C22" s="2" t="str">
        <f>IF(E22&lt;&gt;"",E22&amp;"_config","")</f>
        <v>task_config</v>
      </c>
      <c r="D22" s="2" t="b">
        <v>1</v>
      </c>
      <c r="E22" s="2" t="s">
        <v>55</v>
      </c>
      <c r="G22" s="2" t="str">
        <f>IF(E22&lt;&gt;"","general/"&amp;E22&amp;".xlsx","")</f>
        <v>general/task.xlsx</v>
      </c>
      <c r="K22" s="2" t="s">
        <v>56</v>
      </c>
      <c r="M22" s="2" t="str">
        <f>IF(C22&lt;&gt;"",C22&amp;"_container","")</f>
        <v>task_config_container</v>
      </c>
    </row>
    <row r="23" customHeight="1" spans="2:13">
      <c r="B23" s="2" t="str">
        <f>IF(M23&lt;&gt;"","game."&amp;M23,"")</f>
        <v/>
      </c>
      <c r="C23" s="2" t="str">
        <f>IF(E23&lt;&gt;"",E23&amp;"_config","")</f>
        <v/>
      </c>
      <c r="G23" s="2" t="str">
        <f>IF(E23&lt;&gt;"","general/"&amp;E23&amp;".xlsx","")</f>
        <v/>
      </c>
      <c r="M23" s="2" t="str">
        <f>IF(C23&lt;&gt;"",C23&amp;"_container","")</f>
        <v/>
      </c>
    </row>
    <row r="24" customHeight="1" spans="2:13">
      <c r="B24" s="2" t="str">
        <f>IF(M24&lt;&gt;"","game."&amp;M24,"")</f>
        <v>game.month_config_container</v>
      </c>
      <c r="C24" s="2" t="str">
        <f>IF(E24&lt;&gt;"",E24&amp;"_config","")</f>
        <v>month_config</v>
      </c>
      <c r="D24" s="2" t="b">
        <v>1</v>
      </c>
      <c r="E24" s="2" t="s">
        <v>57</v>
      </c>
      <c r="G24" s="2" t="str">
        <f>IF(E24&lt;&gt;"","general/"&amp;E24&amp;".xlsx","")</f>
        <v>general/month.xlsx</v>
      </c>
      <c r="K24" s="2" t="s">
        <v>58</v>
      </c>
      <c r="M24" s="2" t="str">
        <f>IF(C24&lt;&gt;"",C24&amp;"_container","")</f>
        <v>month_config_container</v>
      </c>
    </row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  <row r="176" customHeight="1"/>
    <row r="177" customHeight="1"/>
  </sheetData>
  <conditionalFormatting sqref="C13:C17">
    <cfRule type="duplicateValues" dxfId="0" priority="1"/>
  </conditionalFormatting>
  <conditionalFormatting sqref="C1:C4 C18 C25:C1048576">
    <cfRule type="duplicateValues" dxfId="0" priority="103"/>
  </conditionalFormatting>
  <conditionalFormatting sqref="C5:C7 C9:C12 C19:C20 C22:C24">
    <cfRule type="duplicateValues" dxfId="0" priority="4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2026-03-25T14:33:23Z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