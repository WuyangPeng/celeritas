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Item!$A$3:$H$59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<sst xmlns="http://schemas.openxmlformats.org/spreadsheetml/2006/main" count="93" uniqueCount="88">
  <si>
    <t>##var</t>
  </si>
  <si>
    <t>item_template_id</t>
  </si>
  <si>
    <t>#name</t>
  </si>
  <si>
    <t>#description</t>
  </si>
  <si>
    <t>item_type</t>
  </si>
  <si>
    <t>stacked</t>
  </si>
  <si>
    <t>quality</t>
  </si>
  <si>
    <t>squares</t>
  </si>
  <si>
    <t>unlock_task_id</t>
  </si>
  <si>
    <t>parameter0</t>
  </si>
  <si>
    <t>parameter1</t>
  </si>
  <si>
    <t>##type</t>
  </si>
  <si>
    <t>int</t>
  </si>
  <si>
    <t>quality_type</t>
  </si>
  <si>
    <t>bool</t>
  </si>
  <si>
    <t>##</t>
  </si>
  <si>
    <t>物品编号</t>
  </si>
  <si>
    <t>物品名称</t>
  </si>
  <si>
    <t>物品描述</t>
  </si>
  <si>
    <t>物品类型</t>
  </si>
  <si>
    <t>堆叠数</t>
  </si>
  <si>
    <t>品质</t>
  </si>
  <si>
    <t>格子</t>
  </si>
  <si>
    <t>解锁条件id</t>
  </si>
  <si>
    <t>关联参数0</t>
  </si>
  <si>
    <t>关联参数1</t>
  </si>
  <si>
    <t>黄金</t>
  </si>
  <si>
    <t>顶级货币（充值/活动），用于加速、购买特权</t>
  </si>
  <si>
    <t>白银</t>
  </si>
  <si>
    <t>高级货币，用于将领俸禄、稀有道具购买</t>
  </si>
  <si>
    <t>铜钱</t>
  </si>
  <si>
    <t>基础货币，用于市场买卖、低级招募</t>
  </si>
  <si>
    <t>改名卡</t>
  </si>
  <si>
    <t>声望</t>
  </si>
  <si>
    <t>通过完成任务和事件获得，解锁高级爵位与特殊NPC互动</t>
  </si>
  <si>
    <t>功勋</t>
  </si>
  <si>
    <t>通过PVP战斗和国家任务获得，用于兑换专属装备与称号</t>
  </si>
  <si>
    <t>默认头像</t>
  </si>
  <si>
    <t>头像-嬴政</t>
  </si>
  <si>
    <t>头像-刘彻</t>
  </si>
  <si>
    <t>头像-李世民</t>
  </si>
  <si>
    <t>头像-赵飞燕</t>
  </si>
  <si>
    <t>头像-蔡文姬</t>
  </si>
  <si>
    <t>头像-杨玉环</t>
  </si>
  <si>
    <t>头像-白起</t>
  </si>
  <si>
    <t>头像-张骞</t>
  </si>
  <si>
    <t>头像-房玄龄</t>
  </si>
  <si>
    <t>默认头像框</t>
  </si>
  <si>
    <t>头像框-白</t>
  </si>
  <si>
    <t>头像框-绿</t>
  </si>
  <si>
    <t>头像框-蓝</t>
  </si>
  <si>
    <t>头像框-紫</t>
  </si>
  <si>
    <t>头像框-橙</t>
  </si>
  <si>
    <t>头像框-红</t>
  </si>
  <si>
    <t>从戎校尉</t>
  </si>
  <si>
    <t>讨逆先锋</t>
  </si>
  <si>
    <t>百战悍将</t>
  </si>
  <si>
    <t>持节偏军</t>
  </si>
  <si>
    <t>威武都督</t>
  </si>
  <si>
    <t>镇国大将军</t>
  </si>
  <si>
    <t>名震寰宇</t>
  </si>
  <si>
    <t>兵圣传人</t>
  </si>
  <si>
    <t>开国元勋</t>
  </si>
  <si>
    <t>千古战神</t>
  </si>
  <si>
    <t>嬴政</t>
  </si>
  <si>
    <t>刘彻</t>
  </si>
  <si>
    <t>李世民</t>
  </si>
  <si>
    <t>赵飞燕</t>
  </si>
  <si>
    <t>蔡文姬</t>
  </si>
  <si>
    <t>杨玉环</t>
  </si>
  <si>
    <t>白起</t>
  </si>
  <si>
    <t>张骞</t>
  </si>
  <si>
    <t>房玄龄</t>
  </si>
  <si>
    <t>人物经验</t>
  </si>
  <si>
    <t>vip经验</t>
  </si>
  <si>
    <t>农田</t>
  </si>
  <si>
    <t>伐木场</t>
  </si>
  <si>
    <t>采石场</t>
  </si>
  <si>
    <t>矿场</t>
  </si>
  <si>
    <t>民居</t>
  </si>
  <si>
    <t>粮食</t>
  </si>
  <si>
    <t>维持士兵和人口的基本需求，影响民心</t>
  </si>
  <si>
    <t>木材</t>
  </si>
  <si>
    <t>建造和升级建筑的主要材料</t>
  </si>
  <si>
    <t>石头</t>
  </si>
  <si>
    <t>建造城墙和防御工事的必需品</t>
  </si>
  <si>
    <t>铁矿</t>
  </si>
  <si>
    <t>制造兵器和器械的必需品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</si>
</sst>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K70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G3" sqref="G3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29.1166666666667" style="2" customWidth="1"/>
    <col min="5" max="7" width="26" style="2" customWidth="1"/>
    <col min="8" max="8" width="40.375" style="2" customWidth="1"/>
    <col min="9" max="9" width="15" style="2" customWidth="1"/>
    <col min="10" max="11" width="12.25" style="2" customWidth="1"/>
    <col min="12" max="16384" width="9" style="2"/>
  </cols>
  <sheetData>
    <row r="1" s="1" customFormat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="1" customFormat="1" spans="1:11">
      <c r="A2" s="1" t="s">
        <v>11</v>
      </c>
      <c r="B2" s="1" t="s">
        <v>12</v>
      </c>
      <c r="E2" s="1" t="s">
        <v>4</v>
      </c>
      <c r="F2" s="1" t="s">
        <v>12</v>
      </c>
      <c r="G2" s="1" t="s">
        <v>13</v>
      </c>
      <c r="H2" s="1" t="s">
        <v>14</v>
      </c>
      <c r="I2" s="1" t="s">
        <v>12</v>
      </c>
      <c r="J2" s="1" t="s">
        <v>12</v>
      </c>
      <c r="K2" s="1" t="s">
        <v>12</v>
      </c>
    </row>
    <row r="3" s="1" customFormat="1" ht="203.1" customHeight="1" spans="1:11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21</v>
      </c>
      <c r="H3" s="1" t="s">
        <v>22</v>
      </c>
      <c r="I3" s="1" t="s">
        <v>23</v>
      </c>
      <c r="J3" s="1" t="s">
        <v>24</v>
      </c>
      <c r="K3" s="1" t="s">
        <v>25</v>
      </c>
    </row>
    <row r="4" s="2" customFormat="1" spans="1:11">
      <c r="B4" s="2">
        <v>1001001</v>
      </c>
      <c r="C4" s="2" t="s">
        <v>26</v>
      </c>
      <c r="D4" s="2" t="s">
        <v>27</v>
      </c>
      <c r="E4" s="2">
        <f t="shared" ref="E4:E13" si="0">IF(B4="","",INT(B4/1000000))</f>
        <v>1</v>
      </c>
      <c r="F4" s="2">
        <v>0</v>
      </c>
      <c r="G4" s="2">
        <f t="shared" ref="G4:G9" si="1">IF(B4="","",MOD(INT(B4/1000),10))</f>
        <v>1</v>
      </c>
      <c r="H4" s="2" t="b">
        <v>0</v>
      </c>
    </row>
    <row r="5" spans="1:11">
      <c r="B5" s="2">
        <v>1001002</v>
      </c>
      <c r="C5" s="2" t="s">
        <v>28</v>
      </c>
      <c r="D5" s="2" t="s">
        <v>29</v>
      </c>
      <c r="E5" s="2">
        <f t="shared" si="0"/>
        <v>1</v>
      </c>
      <c r="F5" s="2">
        <v>0</v>
      </c>
      <c r="G5" s="2">
        <f t="shared" si="1"/>
        <v>1</v>
      </c>
      <c r="H5" s="2" t="b">
        <v>0</v>
      </c>
    </row>
    <row r="6" spans="1:11">
      <c r="B6" s="2">
        <v>1001003</v>
      </c>
      <c r="C6" s="2" t="s">
        <v>30</v>
      </c>
      <c r="D6" s="2" t="s">
        <v>31</v>
      </c>
      <c r="E6" s="2">
        <f t="shared" si="0"/>
        <v>1</v>
      </c>
      <c r="F6" s="2">
        <v>0</v>
      </c>
      <c r="G6" s="2">
        <f t="shared" si="1"/>
        <v>1</v>
      </c>
      <c r="H6" s="2" t="b">
        <v>0</v>
      </c>
    </row>
    <row r="7" spans="1:11">
      <c r="E7" s="2" t="str">
        <f t="shared" si="0"/>
        <v/>
      </c>
      <c r="G7" s="2" t="str">
        <f t="shared" si="1"/>
        <v/>
      </c>
    </row>
    <row r="8" spans="1:11">
      <c r="B8" s="2">
        <v>1011001</v>
      </c>
      <c r="C8" s="2" t="s">
        <v>32</v>
      </c>
      <c r="E8" s="2">
        <f t="shared" si="0"/>
        <v>1</v>
      </c>
      <c r="F8" s="2">
        <v>0</v>
      </c>
      <c r="G8" s="2">
        <f t="shared" si="1"/>
        <v>1</v>
      </c>
      <c r="H8" s="2" t="b">
        <v>0</v>
      </c>
    </row>
    <row r="9" spans="1:11">
      <c r="E9" s="2" t="str">
        <f t="shared" si="0"/>
        <v/>
      </c>
      <c r="G9" s="2" t="str">
        <f t="shared" si="1"/>
        <v/>
      </c>
    </row>
    <row r="10" spans="1:11">
      <c r="B10" s="2">
        <v>1021001</v>
      </c>
      <c r="C10" s="2" t="s">
        <v>33</v>
      </c>
      <c r="D10" s="2" t="s">
        <v>34</v>
      </c>
      <c r="E10" s="2">
        <v>1</v>
      </c>
      <c r="F10" s="2">
        <v>0</v>
      </c>
      <c r="G10" s="2">
        <v>1</v>
      </c>
      <c r="H10" s="2" t="b">
        <v>0</v>
      </c>
    </row>
    <row r="11" spans="1:11">
      <c r="B11" s="2">
        <v>1021002</v>
      </c>
      <c r="C11" s="2" t="s">
        <v>35</v>
      </c>
      <c r="D11" s="2" t="s">
        <v>36</v>
      </c>
      <c r="E11" s="2">
        <v>1</v>
      </c>
      <c r="F11" s="2">
        <v>0</v>
      </c>
      <c r="G11" s="2">
        <v>1</v>
      </c>
      <c r="H11" s="2" t="b">
        <v>0</v>
      </c>
    </row>
    <row r="13" spans="1:11">
      <c r="B13" s="2">
        <v>4011001</v>
      </c>
      <c r="C13" s="2" t="s">
        <v>37</v>
      </c>
      <c r="E13" s="2">
        <f>IF(B13="","",INT(B13/1000000))</f>
        <v>4</v>
      </c>
      <c r="F13" s="2">
        <v>0</v>
      </c>
      <c r="G13" s="2">
        <f t="shared" ref="G13:G27" si="2">IF(B13="","",MOD(INT(B13/1000),10))</f>
        <v>1</v>
      </c>
      <c r="H13" s="2" t="b">
        <v>0</v>
      </c>
    </row>
    <row r="14" customFormat="1" spans="1:11">
      <c r="B14" s="2"/>
      <c r="C14" s="2"/>
      <c r="D14" s="2"/>
      <c r="E14" s="2"/>
      <c r="F14" s="2"/>
      <c r="G14" s="2" t="str">
        <f t="shared" si="2"/>
        <v/>
      </c>
      <c r="H14" s="2"/>
      <c r="I14" s="2"/>
    </row>
    <row r="15" s="2" customFormat="1" spans="1:11">
      <c r="B15" s="2">
        <v>4024001</v>
      </c>
      <c r="C15" s="2" t="s">
        <v>38</v>
      </c>
      <c r="E15" s="2">
        <f>IF(B15="","",INT(B15/1000000))</f>
        <v>4</v>
      </c>
      <c r="F15" s="2">
        <v>0</v>
      </c>
      <c r="G15" s="2">
        <f t="shared" si="2"/>
        <v>4</v>
      </c>
      <c r="H15" s="2" t="b">
        <v>0</v>
      </c>
      <c r="I15" s="2">
        <v>300324001</v>
      </c>
    </row>
    <row r="16" s="2" customFormat="1" spans="1:11">
      <c r="B16" s="2">
        <v>4024002</v>
      </c>
      <c r="C16" s="2" t="s">
        <v>39</v>
      </c>
      <c r="E16" s="2">
        <f t="shared" ref="E15:E25" si="3">IF(B16="","",INT(B16/1000000))</f>
        <v>4</v>
      </c>
      <c r="F16" s="2">
        <v>0</v>
      </c>
      <c r="G16" s="2">
        <f t="shared" si="2"/>
        <v>4</v>
      </c>
      <c r="H16" s="2" t="b">
        <v>0</v>
      </c>
      <c r="I16" s="2">
        <v>300324002</v>
      </c>
    </row>
    <row r="17" s="2" customFormat="1" spans="2:9">
      <c r="B17" s="2">
        <v>4024003</v>
      </c>
      <c r="C17" s="2" t="s">
        <v>40</v>
      </c>
      <c r="E17" s="2">
        <f t="shared" si="3"/>
        <v>4</v>
      </c>
      <c r="F17" s="2">
        <v>0</v>
      </c>
      <c r="G17" s="2">
        <f t="shared" si="2"/>
        <v>4</v>
      </c>
      <c r="H17" s="2" t="b">
        <v>0</v>
      </c>
      <c r="I17" s="2">
        <v>300324003</v>
      </c>
    </row>
    <row r="18" s="2" customFormat="1" spans="2:9">
      <c r="G18" s="2" t="str">
        <f t="shared" si="2"/>
        <v/>
      </c>
    </row>
    <row r="19" s="2" customFormat="1" spans="2:9">
      <c r="B19" s="2">
        <v>4034001</v>
      </c>
      <c r="C19" s="2" t="s">
        <v>41</v>
      </c>
      <c r="E19" s="2">
        <f t="shared" si="3"/>
        <v>4</v>
      </c>
      <c r="F19" s="2">
        <v>0</v>
      </c>
      <c r="G19" s="2">
        <f t="shared" si="2"/>
        <v>4</v>
      </c>
      <c r="H19" s="2" t="b">
        <v>0</v>
      </c>
      <c r="I19" s="2">
        <v>300334001</v>
      </c>
    </row>
    <row r="20" s="2" customFormat="1" spans="2:9">
      <c r="B20" s="2">
        <v>4034002</v>
      </c>
      <c r="C20" s="2" t="s">
        <v>42</v>
      </c>
      <c r="E20" s="2">
        <f t="shared" si="3"/>
        <v>4</v>
      </c>
      <c r="F20" s="2">
        <v>0</v>
      </c>
      <c r="G20" s="2">
        <f t="shared" si="2"/>
        <v>4</v>
      </c>
      <c r="H20" s="2" t="b">
        <v>0</v>
      </c>
      <c r="I20" s="2">
        <v>300334002</v>
      </c>
    </row>
    <row r="21" spans="2:9">
      <c r="B21" s="2">
        <v>4034003</v>
      </c>
      <c r="C21" s="2" t="s">
        <v>43</v>
      </c>
      <c r="E21" s="2">
        <f t="shared" si="3"/>
        <v>4</v>
      </c>
      <c r="F21" s="2">
        <v>0</v>
      </c>
      <c r="G21" s="2">
        <f t="shared" si="2"/>
        <v>4</v>
      </c>
      <c r="H21" s="2" t="b">
        <v>0</v>
      </c>
      <c r="I21" s="2">
        <v>300334003</v>
      </c>
    </row>
    <row r="22" spans="2:9">
      <c r="E22" s="2" t="str">
        <f t="shared" si="3"/>
        <v/>
      </c>
      <c r="G22" s="2" t="str">
        <f t="shared" si="2"/>
        <v/>
      </c>
    </row>
    <row r="23" spans="2:9">
      <c r="B23" s="2">
        <v>4044001</v>
      </c>
      <c r="C23" s="2" t="s">
        <v>44</v>
      </c>
      <c r="E23" s="2">
        <f t="shared" si="3"/>
        <v>4</v>
      </c>
      <c r="F23" s="2">
        <v>0</v>
      </c>
      <c r="G23" s="2">
        <f t="shared" si="2"/>
        <v>4</v>
      </c>
      <c r="H23" s="2" t="b">
        <v>0</v>
      </c>
      <c r="I23" s="2">
        <v>300344001</v>
      </c>
    </row>
    <row r="24" spans="2:9">
      <c r="B24" s="2">
        <v>4044002</v>
      </c>
      <c r="C24" s="2" t="s">
        <v>45</v>
      </c>
      <c r="E24" s="2">
        <f t="shared" si="3"/>
        <v>4</v>
      </c>
      <c r="F24" s="2">
        <v>0</v>
      </c>
      <c r="G24" s="2">
        <f t="shared" si="2"/>
        <v>4</v>
      </c>
      <c r="H24" s="2" t="b">
        <v>0</v>
      </c>
      <c r="I24" s="2">
        <v>300344002</v>
      </c>
    </row>
    <row r="25" spans="2:9">
      <c r="B25" s="2">
        <v>4044003</v>
      </c>
      <c r="C25" s="2" t="s">
        <v>46</v>
      </c>
      <c r="E25" s="2">
        <f t="shared" si="3"/>
        <v>4</v>
      </c>
      <c r="F25" s="2">
        <v>0</v>
      </c>
      <c r="G25" s="2">
        <f t="shared" si="2"/>
        <v>4</v>
      </c>
      <c r="H25" s="2" t="b">
        <v>0</v>
      </c>
      <c r="I25" s="2">
        <v>300344003</v>
      </c>
    </row>
    <row r="26" spans="2:9">
      <c r="G26" s="2" t="str">
        <f t="shared" si="2"/>
        <v/>
      </c>
    </row>
    <row r="27" spans="2:9">
      <c r="B27" s="2">
        <v>5011001</v>
      </c>
      <c r="C27" s="2" t="s">
        <v>47</v>
      </c>
      <c r="E27" s="2">
        <f>IF(B27="","",INT(B27/1000000))</f>
        <v>5</v>
      </c>
      <c r="F27" s="2">
        <v>0</v>
      </c>
      <c r="G27" s="2">
        <f t="shared" si="2"/>
        <v>1</v>
      </c>
      <c r="H27" s="2" t="b">
        <v>0</v>
      </c>
    </row>
    <row r="28" s="2" customFormat="1" spans="2:9">
      <c r="B28" s="2">
        <v>5011002</v>
      </c>
      <c r="C28" s="2" t="s">
        <v>48</v>
      </c>
      <c r="E28" s="2">
        <f t="shared" ref="E28:E35" si="4">IF(B28="","",INT(B28/1000000))</f>
        <v>5</v>
      </c>
      <c r="F28" s="2">
        <v>0</v>
      </c>
      <c r="G28" s="2">
        <f t="shared" ref="G28:G33" si="5">IF(B28="","",MOD(INT(B28/1000),10))</f>
        <v>1</v>
      </c>
      <c r="H28" s="2" t="b">
        <v>0</v>
      </c>
      <c r="I28" s="2">
        <v>400311002</v>
      </c>
    </row>
    <row r="29" s="2" customFormat="1" spans="2:9">
      <c r="B29" s="2">
        <v>5011003</v>
      </c>
      <c r="C29" s="2" t="s">
        <v>49</v>
      </c>
      <c r="E29" s="2">
        <f t="shared" si="4"/>
        <v>5</v>
      </c>
      <c r="F29" s="2">
        <v>0</v>
      </c>
      <c r="G29" s="2">
        <f t="shared" si="5"/>
        <v>1</v>
      </c>
      <c r="H29" s="2" t="b">
        <v>0</v>
      </c>
      <c r="I29" s="2">
        <v>400311003</v>
      </c>
    </row>
    <row r="30" s="2" customFormat="1" spans="2:9">
      <c r="B30" s="2">
        <v>5011004</v>
      </c>
      <c r="C30" s="2" t="s">
        <v>50</v>
      </c>
      <c r="E30" s="2">
        <f t="shared" si="4"/>
        <v>5</v>
      </c>
      <c r="F30" s="2">
        <v>0</v>
      </c>
      <c r="G30" s="2">
        <f t="shared" si="5"/>
        <v>1</v>
      </c>
      <c r="H30" s="2" t="b">
        <v>0</v>
      </c>
      <c r="I30" s="2">
        <v>400311004</v>
      </c>
    </row>
    <row r="31" s="2" customFormat="1" spans="2:9">
      <c r="B31" s="2">
        <v>5011005</v>
      </c>
      <c r="C31" s="2" t="s">
        <v>51</v>
      </c>
      <c r="E31" s="2">
        <f t="shared" si="4"/>
        <v>5</v>
      </c>
      <c r="F31" s="2">
        <v>0</v>
      </c>
      <c r="G31" s="2">
        <f t="shared" si="5"/>
        <v>1</v>
      </c>
      <c r="H31" s="2" t="b">
        <v>0</v>
      </c>
      <c r="I31" s="2">
        <v>400311005</v>
      </c>
    </row>
    <row r="32" s="2" customFormat="1" spans="2:9">
      <c r="B32" s="2">
        <v>5011006</v>
      </c>
      <c r="C32" s="2" t="s">
        <v>52</v>
      </c>
      <c r="E32" s="2">
        <f t="shared" si="4"/>
        <v>5</v>
      </c>
      <c r="F32" s="2">
        <v>0</v>
      </c>
      <c r="G32" s="2">
        <f t="shared" si="5"/>
        <v>1</v>
      </c>
      <c r="H32" s="2" t="b">
        <v>0</v>
      </c>
      <c r="I32" s="2">
        <v>400311006</v>
      </c>
    </row>
    <row r="33" s="2" customFormat="1" spans="2:9">
      <c r="B33" s="2">
        <v>5011007</v>
      </c>
      <c r="C33" s="2" t="s">
        <v>53</v>
      </c>
      <c r="E33" s="2">
        <f t="shared" si="4"/>
        <v>5</v>
      </c>
      <c r="F33" s="2">
        <v>0</v>
      </c>
      <c r="G33" s="2">
        <f t="shared" si="5"/>
        <v>1</v>
      </c>
      <c r="H33" s="2" t="b">
        <v>0</v>
      </c>
      <c r="I33" s="2">
        <v>400311007</v>
      </c>
    </row>
    <row r="34" spans="2:9">
      <c r="E34" s="2" t="str">
        <f t="shared" si="4"/>
        <v/>
      </c>
      <c r="G34" s="2" t="str">
        <f t="shared" ref="G34:G37" si="6">IF(B34="","",MOD(INT(B34/1000),10))</f>
        <v/>
      </c>
    </row>
    <row r="35" spans="2:9">
      <c r="B35" s="2">
        <v>6011001</v>
      </c>
      <c r="C35" s="2" t="s">
        <v>54</v>
      </c>
      <c r="E35" s="2">
        <f t="shared" si="4"/>
        <v>6</v>
      </c>
      <c r="F35" s="2">
        <v>0</v>
      </c>
      <c r="G35" s="2">
        <f t="shared" si="6"/>
        <v>1</v>
      </c>
      <c r="H35" s="2" t="b">
        <v>0</v>
      </c>
      <c r="I35" s="2">
        <v>500211001</v>
      </c>
    </row>
    <row r="36" spans="2:9">
      <c r="B36" s="2">
        <v>6011002</v>
      </c>
      <c r="C36" s="2" t="s">
        <v>55</v>
      </c>
      <c r="E36" s="2">
        <f t="shared" ref="E36:E44" si="7">IF(B36="","",INT(B36/1000000))</f>
        <v>6</v>
      </c>
      <c r="F36" s="2">
        <v>0</v>
      </c>
      <c r="G36" s="2">
        <v>1</v>
      </c>
      <c r="H36" s="2" t="b">
        <v>0</v>
      </c>
      <c r="I36" s="2">
        <v>500211002</v>
      </c>
    </row>
    <row r="37" spans="2:9">
      <c r="B37" s="2">
        <v>6011003</v>
      </c>
      <c r="C37" s="2" t="s">
        <v>56</v>
      </c>
      <c r="E37" s="2">
        <f t="shared" si="7"/>
        <v>6</v>
      </c>
      <c r="F37" s="2">
        <v>0</v>
      </c>
      <c r="G37" s="2">
        <f t="shared" si="6"/>
        <v>1</v>
      </c>
      <c r="H37" s="2" t="b">
        <v>0</v>
      </c>
      <c r="I37" s="2">
        <v>500211003</v>
      </c>
    </row>
    <row r="38" spans="2:9">
      <c r="B38" s="2">
        <v>6011004</v>
      </c>
      <c r="C38" s="2" t="s">
        <v>57</v>
      </c>
      <c r="E38" s="2">
        <f t="shared" si="7"/>
        <v>6</v>
      </c>
      <c r="F38" s="2">
        <v>0</v>
      </c>
      <c r="G38" s="2">
        <v>1</v>
      </c>
      <c r="H38" s="2" t="b">
        <v>0</v>
      </c>
      <c r="I38" s="2">
        <v>500211004</v>
      </c>
    </row>
    <row r="39" spans="2:9">
      <c r="B39" s="2">
        <v>6011005</v>
      </c>
      <c r="C39" s="2" t="s">
        <v>58</v>
      </c>
      <c r="E39" s="2">
        <f t="shared" si="7"/>
        <v>6</v>
      </c>
      <c r="F39" s="2">
        <v>0</v>
      </c>
      <c r="G39" s="2">
        <f>IF(B39="","",MOD(INT(B39/1000),10))</f>
        <v>1</v>
      </c>
      <c r="H39" s="2" t="b">
        <v>0</v>
      </c>
      <c r="I39" s="2">
        <v>500211005</v>
      </c>
    </row>
    <row r="40" spans="2:9">
      <c r="B40" s="2">
        <v>6011006</v>
      </c>
      <c r="C40" s="2" t="s">
        <v>59</v>
      </c>
      <c r="E40" s="2">
        <f t="shared" si="7"/>
        <v>6</v>
      </c>
      <c r="F40" s="2">
        <v>0</v>
      </c>
      <c r="G40" s="2">
        <v>1</v>
      </c>
      <c r="H40" s="2" t="b">
        <v>0</v>
      </c>
      <c r="I40" s="2">
        <v>500211006</v>
      </c>
    </row>
    <row r="41" spans="2:9">
      <c r="B41" s="2">
        <v>6011007</v>
      </c>
      <c r="C41" s="2" t="s">
        <v>60</v>
      </c>
      <c r="E41" s="2">
        <f t="shared" si="7"/>
        <v>6</v>
      </c>
      <c r="F41" s="2">
        <v>0</v>
      </c>
      <c r="G41" s="2">
        <f>IF(B41="","",MOD(INT(B41/1000),10))</f>
        <v>1</v>
      </c>
      <c r="H41" s="2" t="b">
        <v>0</v>
      </c>
      <c r="I41" s="2">
        <v>500211007</v>
      </c>
    </row>
    <row r="42" spans="2:9">
      <c r="B42" s="2">
        <v>6011008</v>
      </c>
      <c r="C42" s="2" t="s">
        <v>61</v>
      </c>
      <c r="E42" s="2">
        <f t="shared" si="7"/>
        <v>6</v>
      </c>
      <c r="F42" s="2">
        <v>0</v>
      </c>
      <c r="G42" s="2">
        <v>1</v>
      </c>
      <c r="H42" s="2" t="b">
        <v>0</v>
      </c>
      <c r="I42" s="2">
        <v>500211008</v>
      </c>
    </row>
    <row r="43" spans="2:9">
      <c r="B43" s="2">
        <v>6011009</v>
      </c>
      <c r="C43" s="2" t="s">
        <v>62</v>
      </c>
      <c r="E43" s="2">
        <f t="shared" si="7"/>
        <v>6</v>
      </c>
      <c r="F43" s="2">
        <v>0</v>
      </c>
      <c r="G43" s="2">
        <f>IF(B43="","",MOD(INT(B43/1000),10))</f>
        <v>1</v>
      </c>
      <c r="H43" s="2" t="b">
        <v>0</v>
      </c>
      <c r="I43" s="2">
        <v>500211009</v>
      </c>
    </row>
    <row r="44" spans="2:9">
      <c r="B44" s="2">
        <v>6011010</v>
      </c>
      <c r="C44" s="2" t="s">
        <v>63</v>
      </c>
      <c r="E44" s="2">
        <f t="shared" si="7"/>
        <v>6</v>
      </c>
      <c r="F44" s="2">
        <v>0</v>
      </c>
      <c r="G44" s="2">
        <v>1</v>
      </c>
      <c r="H44" s="2" t="b">
        <v>0</v>
      </c>
      <c r="I44" s="2">
        <v>500211010</v>
      </c>
    </row>
    <row r="45" spans="2:9">
      <c r="E45" s="2" t="str">
        <f t="shared" ref="E45:E59" si="8">IF(B45="","",INT(B45/1000000))</f>
        <v/>
      </c>
      <c r="G45" s="2" t="str">
        <f t="shared" ref="G45:G56" si="9">IF(B45="","",MOD(INT(B45/1000),10))</f>
        <v/>
      </c>
    </row>
    <row r="46" spans="2:9">
      <c r="B46" s="2">
        <v>7024001</v>
      </c>
      <c r="C46" s="2" t="s">
        <v>64</v>
      </c>
      <c r="E46" s="2">
        <f t="shared" si="8"/>
        <v>7</v>
      </c>
      <c r="F46" s="2">
        <v>0</v>
      </c>
      <c r="G46" s="2">
        <f t="shared" si="9"/>
        <v>4</v>
      </c>
      <c r="H46" s="2" t="b">
        <v>0</v>
      </c>
    </row>
    <row r="47" spans="2:9">
      <c r="B47" s="2">
        <v>7024002</v>
      </c>
      <c r="C47" s="2" t="s">
        <v>65</v>
      </c>
      <c r="E47" s="2">
        <f t="shared" si="8"/>
        <v>7</v>
      </c>
      <c r="F47" s="2">
        <v>0</v>
      </c>
      <c r="G47" s="2">
        <f t="shared" si="9"/>
        <v>4</v>
      </c>
      <c r="H47" s="2" t="b">
        <v>0</v>
      </c>
    </row>
    <row r="48" spans="2:9">
      <c r="B48" s="2">
        <v>7024003</v>
      </c>
      <c r="C48" s="2" t="s">
        <v>66</v>
      </c>
      <c r="E48" s="2">
        <f t="shared" si="8"/>
        <v>7</v>
      </c>
      <c r="F48" s="2">
        <v>0</v>
      </c>
      <c r="G48" s="2">
        <f t="shared" si="9"/>
        <v>4</v>
      </c>
      <c r="H48" s="2" t="b">
        <v>0</v>
      </c>
    </row>
    <row r="49" spans="2:11">
      <c r="E49" s="2" t="str">
        <f t="shared" si="8"/>
        <v/>
      </c>
      <c r="G49" s="2" t="str">
        <f t="shared" si="9"/>
        <v/>
      </c>
    </row>
    <row r="50" spans="2:11">
      <c r="B50" s="2">
        <v>7034001</v>
      </c>
      <c r="C50" s="2" t="s">
        <v>67</v>
      </c>
      <c r="E50" s="2">
        <f t="shared" si="8"/>
        <v>7</v>
      </c>
      <c r="F50" s="2">
        <v>0</v>
      </c>
      <c r="G50" s="2">
        <f t="shared" si="9"/>
        <v>4</v>
      </c>
      <c r="H50" s="2" t="b">
        <v>0</v>
      </c>
    </row>
    <row r="51" spans="2:11">
      <c r="B51" s="2">
        <v>7034002</v>
      </c>
      <c r="C51" s="2" t="s">
        <v>68</v>
      </c>
      <c r="E51" s="2">
        <f t="shared" si="8"/>
        <v>7</v>
      </c>
      <c r="F51" s="2">
        <v>0</v>
      </c>
      <c r="G51" s="2">
        <f t="shared" si="9"/>
        <v>4</v>
      </c>
      <c r="H51" s="2" t="b">
        <v>0</v>
      </c>
    </row>
    <row r="52" spans="2:11">
      <c r="B52" s="2">
        <v>7034003</v>
      </c>
      <c r="C52" s="2" t="s">
        <v>69</v>
      </c>
      <c r="E52" s="2">
        <f t="shared" si="8"/>
        <v>7</v>
      </c>
      <c r="F52" s="2">
        <v>0</v>
      </c>
      <c r="G52" s="2">
        <f t="shared" si="9"/>
        <v>4</v>
      </c>
      <c r="H52" s="2" t="b">
        <v>0</v>
      </c>
    </row>
    <row r="53" spans="2:11">
      <c r="E53" s="2" t="str">
        <f t="shared" si="8"/>
        <v/>
      </c>
      <c r="G53" s="2" t="str">
        <f t="shared" si="9"/>
        <v/>
      </c>
    </row>
    <row r="54" spans="2:11">
      <c r="B54" s="2">
        <v>7044001</v>
      </c>
      <c r="C54" s="2" t="s">
        <v>70</v>
      </c>
      <c r="E54" s="2">
        <f t="shared" si="8"/>
        <v>7</v>
      </c>
      <c r="F54" s="2">
        <v>0</v>
      </c>
      <c r="G54" s="2">
        <f t="shared" si="9"/>
        <v>4</v>
      </c>
      <c r="H54" s="2" t="b">
        <v>0</v>
      </c>
    </row>
    <row r="55" spans="2:11">
      <c r="B55" s="2">
        <v>7044002</v>
      </c>
      <c r="C55" s="2" t="s">
        <v>71</v>
      </c>
      <c r="E55" s="2">
        <f t="shared" si="8"/>
        <v>7</v>
      </c>
      <c r="F55" s="2">
        <v>0</v>
      </c>
      <c r="G55" s="2">
        <f t="shared" si="9"/>
        <v>4</v>
      </c>
      <c r="H55" s="2" t="b">
        <v>0</v>
      </c>
    </row>
    <row r="56" spans="2:11">
      <c r="B56" s="2">
        <v>7044003</v>
      </c>
      <c r="C56" s="2" t="s">
        <v>72</v>
      </c>
      <c r="E56" s="2">
        <f t="shared" si="8"/>
        <v>7</v>
      </c>
      <c r="F56" s="2">
        <v>0</v>
      </c>
      <c r="G56" s="2">
        <f t="shared" si="9"/>
        <v>4</v>
      </c>
      <c r="H56" s="2" t="b">
        <v>0</v>
      </c>
    </row>
    <row r="57" spans="2:11">
      <c r="E57" s="2" t="str">
        <f t="shared" si="8"/>
        <v/>
      </c>
    </row>
    <row r="58" spans="2:11">
      <c r="B58" s="2">
        <v>8001001</v>
      </c>
      <c r="C58" s="2" t="s">
        <v>73</v>
      </c>
      <c r="E58" s="2">
        <f t="shared" si="8"/>
        <v>8</v>
      </c>
      <c r="F58" s="2">
        <v>0</v>
      </c>
      <c r="G58" s="2">
        <v>1</v>
      </c>
      <c r="H58" s="2" t="b">
        <v>0</v>
      </c>
      <c r="J58" s="2">
        <v>1</v>
      </c>
      <c r="K58" s="2">
        <v>1</v>
      </c>
    </row>
    <row r="59" spans="2:11">
      <c r="B59" s="2">
        <v>8001002</v>
      </c>
      <c r="C59" s="2" t="s">
        <v>74</v>
      </c>
      <c r="E59" s="2">
        <f t="shared" si="8"/>
        <v>8</v>
      </c>
      <c r="F59" s="2">
        <v>0</v>
      </c>
      <c r="G59" s="2">
        <v>1</v>
      </c>
      <c r="H59" s="2" t="b">
        <v>0</v>
      </c>
      <c r="J59" s="2">
        <v>2</v>
      </c>
      <c r="K59" s="2">
        <v>1</v>
      </c>
    </row>
    <row r="60" spans="2:11">
      <c r="E60" s="2" t="str">
        <f t="shared" ref="E60:E65" si="10">IF(B60="","",INT(B60/1000000))</f>
        <v/>
      </c>
    </row>
    <row r="61" spans="2:11">
      <c r="B61" s="2">
        <v>9011001</v>
      </c>
      <c r="C61" s="2" t="s">
        <v>75</v>
      </c>
      <c r="E61" s="2">
        <f t="shared" si="10"/>
        <v>9</v>
      </c>
      <c r="F61" s="2">
        <v>0</v>
      </c>
      <c r="G61" s="2">
        <v>1</v>
      </c>
      <c r="H61" s="2" t="b">
        <v>0</v>
      </c>
    </row>
    <row r="62" spans="2:11">
      <c r="B62" s="2">
        <v>9021002</v>
      </c>
      <c r="C62" s="2" t="s">
        <v>76</v>
      </c>
      <c r="E62" s="2">
        <f t="shared" si="10"/>
        <v>9</v>
      </c>
      <c r="F62" s="2">
        <v>0</v>
      </c>
      <c r="G62" s="2">
        <v>1</v>
      </c>
      <c r="H62" s="2" t="b">
        <v>0</v>
      </c>
    </row>
    <row r="63" spans="2:11">
      <c r="B63" s="2">
        <v>9031003</v>
      </c>
      <c r="C63" s="2" t="s">
        <v>77</v>
      </c>
      <c r="E63" s="2">
        <f t="shared" si="10"/>
        <v>9</v>
      </c>
      <c r="F63" s="2">
        <v>0</v>
      </c>
      <c r="G63" s="2">
        <v>1</v>
      </c>
      <c r="H63" s="2" t="b">
        <v>0</v>
      </c>
    </row>
    <row r="64" spans="2:11">
      <c r="B64" s="2">
        <v>9041004</v>
      </c>
      <c r="C64" s="2" t="s">
        <v>78</v>
      </c>
      <c r="E64" s="2">
        <f t="shared" si="10"/>
        <v>9</v>
      </c>
      <c r="F64" s="2">
        <v>0</v>
      </c>
      <c r="G64" s="2">
        <v>1</v>
      </c>
      <c r="H64" s="2" t="b">
        <v>0</v>
      </c>
    </row>
    <row r="65" spans="2:8">
      <c r="B65" s="2">
        <v>9051005</v>
      </c>
      <c r="C65" s="2" t="s">
        <v>79</v>
      </c>
      <c r="E65" s="2">
        <f t="shared" si="10"/>
        <v>9</v>
      </c>
      <c r="F65" s="2">
        <v>0</v>
      </c>
      <c r="G65" s="2">
        <v>1</v>
      </c>
      <c r="H65" s="2" t="b">
        <v>0</v>
      </c>
    </row>
    <row r="67" spans="2:8">
      <c r="B67" s="2">
        <v>10001001</v>
      </c>
      <c r="C67" s="2" t="s">
        <v>80</v>
      </c>
      <c r="D67" s="2" t="s">
        <v>81</v>
      </c>
      <c r="E67" s="2">
        <f>IF(B67="","",INT(B67/1000000))</f>
        <v>10</v>
      </c>
      <c r="F67" s="2">
        <v>0</v>
      </c>
      <c r="G67" s="2">
        <v>1</v>
      </c>
      <c r="H67" s="2" t="b">
        <v>0</v>
      </c>
    </row>
    <row r="68" spans="2:8">
      <c r="B68" s="2">
        <v>10001002</v>
      </c>
      <c r="C68" s="2" t="s">
        <v>82</v>
      </c>
      <c r="D68" s="2" t="s">
        <v>83</v>
      </c>
      <c r="E68" s="2">
        <f>IF(B68="","",INT(B68/1000000))</f>
        <v>10</v>
      </c>
      <c r="F68" s="2">
        <v>0</v>
      </c>
      <c r="G68" s="2">
        <v>1</v>
      </c>
      <c r="H68" s="2" t="b">
        <v>0</v>
      </c>
    </row>
    <row r="69" spans="2:8">
      <c r="B69" s="2">
        <v>10001003</v>
      </c>
      <c r="C69" s="2" t="s">
        <v>84</v>
      </c>
      <c r="D69" s="2" t="s">
        <v>85</v>
      </c>
      <c r="E69" s="2">
        <f>IF(B69="","",INT(B69/1000000))</f>
        <v>10</v>
      </c>
      <c r="F69" s="2">
        <v>0</v>
      </c>
      <c r="G69" s="2">
        <v>1</v>
      </c>
      <c r="H69" s="2" t="b">
        <v>0</v>
      </c>
    </row>
    <row r="70" spans="2:8">
      <c r="B70" s="2">
        <v>10001004</v>
      </c>
      <c r="C70" s="2" t="s">
        <v>86</v>
      </c>
      <c r="D70" s="2" t="s">
        <v>87</v>
      </c>
      <c r="E70" s="2">
        <f>IF(B70="","",INT(B70/1000000))</f>
        <v>10</v>
      </c>
      <c r="F70" s="2">
        <v>0</v>
      </c>
      <c r="G70" s="2">
        <v>1</v>
      </c>
      <c r="H70" s="2" t="b">
        <v>0</v>
      </c>
    </row>
  </sheetData>
  <autoFilter xmlns:etc="http://www.wps.cn/officeDocument/2017/etCustomData" ref="A3:H59" etc:filterBottomFollowUsedRange="0">
    <extLst/>
  </autoFilter>
  <conditionalFormatting sqref="E3">
    <cfRule type="duplicateValues" dxfId="0" priority="34"/>
  </conditionalFormatting>
  <conditionalFormatting sqref="F3:G3">
    <cfRule type="duplicateValues" dxfId="0" priority="32"/>
  </conditionalFormatting>
  <conditionalFormatting sqref="H3">
    <cfRule type="duplicateValues" dxfId="0" priority="31"/>
  </conditionalFormatting>
  <conditionalFormatting sqref="B4">
    <cfRule type="duplicateValues" dxfId="0" priority="50"/>
  </conditionalFormatting>
  <conditionalFormatting sqref="B5">
    <cfRule type="duplicateValues" dxfId="0" priority="30"/>
  </conditionalFormatting>
  <conditionalFormatting sqref="B6">
    <cfRule type="duplicateValues" dxfId="0" priority="29"/>
  </conditionalFormatting>
  <conditionalFormatting sqref="B8">
    <cfRule type="duplicateValues" dxfId="0" priority="28"/>
  </conditionalFormatting>
  <conditionalFormatting sqref="B26">
    <cfRule type="duplicateValues" dxfId="0" priority="22"/>
  </conditionalFormatting>
  <conditionalFormatting sqref="B27">
    <cfRule type="duplicateValues" dxfId="0" priority="27"/>
  </conditionalFormatting>
  <conditionalFormatting sqref="B48">
    <cfRule type="duplicateValues" dxfId="0" priority="23"/>
  </conditionalFormatting>
  <conditionalFormatting sqref="B58">
    <cfRule type="duplicateValues" dxfId="0" priority="6"/>
  </conditionalFormatting>
  <conditionalFormatting sqref="B59">
    <cfRule type="duplicateValues" dxfId="0" priority="5"/>
  </conditionalFormatting>
  <conditionalFormatting sqref="B13:B14">
    <cfRule type="duplicateValues" dxfId="0" priority="21"/>
  </conditionalFormatting>
  <conditionalFormatting sqref="B15:B18">
    <cfRule type="duplicateValues" dxfId="0" priority="19"/>
  </conditionalFormatting>
  <conditionalFormatting sqref="B19:B25">
    <cfRule type="duplicateValues" dxfId="0" priority="18"/>
  </conditionalFormatting>
  <conditionalFormatting sqref="B28:B33">
    <cfRule type="duplicateValues" dxfId="0" priority="8"/>
  </conditionalFormatting>
  <conditionalFormatting sqref="B35:B44">
    <cfRule type="duplicateValues" dxfId="0" priority="4"/>
  </conditionalFormatting>
  <conditionalFormatting sqref="B54:B56">
    <cfRule type="duplicateValues" dxfId="0" priority="17"/>
  </conditionalFormatting>
  <conditionalFormatting sqref="B61:B65">
    <cfRule type="duplicateValues" dxfId="0" priority="1"/>
  </conditionalFormatting>
  <conditionalFormatting sqref="I15:I17">
    <cfRule type="duplicateValues" dxfId="0" priority="11"/>
  </conditionalFormatting>
  <conditionalFormatting sqref="I19:I21">
    <cfRule type="duplicateValues" dxfId="0" priority="10"/>
  </conditionalFormatting>
  <conditionalFormatting sqref="I23:I25">
    <cfRule type="duplicateValues" dxfId="0" priority="9"/>
  </conditionalFormatting>
  <conditionalFormatting sqref="I28:I33">
    <cfRule type="duplicateValues" dxfId="0" priority="7"/>
  </conditionalFormatting>
  <conditionalFormatting sqref="B1:B3 B7 B9:B12 B34 B45 B49:B53 B57 B60 B66:B1048576">
    <cfRule type="duplicateValues" dxfId="0" priority="119"/>
  </conditionalFormatting>
  <conditionalFormatting sqref="I18 I22">
    <cfRule type="duplicateValues" dxfId="0" priority="12"/>
  </conditionalFormatting>
  <conditionalFormatting sqref="I35 I37 I39 I41 I43">
    <cfRule type="duplicateValues" dxfId="0" priority="3"/>
  </conditionalFormatting>
  <conditionalFormatting sqref="I36 I38 I40 I42 I44">
    <cfRule type="duplicateValues" dxfId="0" priority="2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2026-03-29T14:33:32Z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