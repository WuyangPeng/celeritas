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FFFFFF"/>
      <sz val="12"/>
    </font>
    <font>
      <name val="微软雅黑"/>
      <color rgb="00000000"/>
      <sz val="12"/>
    </font>
    <font>
      <name val="微软雅黑"/>
      <color rgb="00595959"/>
      <sz val="12"/>
    </font>
    <font>
      <name val="微软雅黑"/>
      <sz val="12"/>
    </font>
  </fonts>
  <fills count="5">
    <fill>
      <patternFill/>
    </fill>
    <fill>
      <patternFill patternType="gray125"/>
    </fill>
    <fill>
      <patternFill patternType="solid">
        <fgColor rgb="00D6A362"/>
        <bgColor rgb="00D6A362"/>
      </patternFill>
    </fill>
    <fill>
      <patternFill patternType="solid">
        <fgColor rgb="00F2DCB5"/>
        <bgColor rgb="00F2DCB5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</cols>
  <sheetData>
    <row r="1">
      <c r="A1" s="1" t="inlineStr">
        <is>
          <t>##var</t>
        </is>
      </c>
      <c r="B1" s="2" t="inlineStr">
        <is>
          <t>item_template_id</t>
        </is>
      </c>
      <c r="C1" s="2" t="inlineStr">
        <is>
          <t>#name</t>
        </is>
      </c>
      <c r="D1" s="2" t="inlineStr">
        <is>
          <t>name_key</t>
        </is>
      </c>
      <c r="E1" s="2" t="inlineStr">
        <is>
          <t>#description</t>
        </is>
      </c>
      <c r="F1" s="2" t="inlineStr">
        <is>
          <t>description_key</t>
        </is>
      </c>
      <c r="G1" s="2" t="inlineStr">
        <is>
          <t>item_type</t>
        </is>
      </c>
      <c r="H1" s="2" t="inlineStr">
        <is>
          <t>stacked</t>
        </is>
      </c>
      <c r="I1" s="2" t="inlineStr">
        <is>
          <t>quality</t>
        </is>
      </c>
      <c r="J1" s="2" t="inlineStr">
        <is>
          <t>squares</t>
        </is>
      </c>
      <c r="K1" s="2" t="inlineStr">
        <is>
          <t>unlock_task_id</t>
        </is>
      </c>
      <c r="L1" s="2" t="inlineStr">
        <is>
          <t>parameter0</t>
        </is>
      </c>
      <c r="M1" s="2" t="inlineStr">
        <is>
          <t>parameter1</t>
        </is>
      </c>
      <c r="N1" s="2" t="inlineStr">
        <is>
          <t>icon</t>
        </is>
      </c>
    </row>
    <row r="2">
      <c r="A2" s="3" t="inlineStr">
        <is>
          <t>##type</t>
        </is>
      </c>
      <c r="B2" s="4" t="inlineStr">
        <is>
          <t>int</t>
        </is>
      </c>
      <c r="C2" s="4" t="n"/>
      <c r="D2" s="4" t="inlineStr">
        <is>
          <t>string</t>
        </is>
      </c>
      <c r="E2" s="4" t="n"/>
      <c r="F2" s="4" t="inlineStr">
        <is>
          <t>string</t>
        </is>
      </c>
      <c r="G2" s="4" t="inlineStr">
        <is>
          <t>item_type</t>
        </is>
      </c>
      <c r="H2" s="4" t="inlineStr">
        <is>
          <t>int</t>
        </is>
      </c>
      <c r="I2" s="4" t="inlineStr">
        <is>
          <t>quality_type</t>
        </is>
      </c>
      <c r="J2" s="4" t="inlineStr">
        <is>
          <t>bool</t>
        </is>
      </c>
      <c r="K2" s="4" t="inlineStr">
        <is>
          <t>int</t>
        </is>
      </c>
      <c r="L2" s="4" t="inlineStr">
        <is>
          <t>int</t>
        </is>
      </c>
      <c r="M2" s="4" t="inlineStr">
        <is>
          <t>int</t>
        </is>
      </c>
      <c r="N2" s="4" t="inlineStr">
        <is>
          <t>string</t>
        </is>
      </c>
    </row>
    <row r="3">
      <c r="A3" s="5" t="inlineStr">
        <is>
          <t>##</t>
        </is>
      </c>
      <c r="B3" s="6" t="inlineStr">
        <is>
          <t>物品编号</t>
        </is>
      </c>
      <c r="C3" s="6" t="inlineStr">
        <is>
          <t>物品名称</t>
        </is>
      </c>
      <c r="D3" s="6" t="inlineStr">
        <is>
          <t>物品名称多语言Key</t>
        </is>
      </c>
      <c r="E3" s="6" t="inlineStr">
        <is>
          <t>物品描述</t>
        </is>
      </c>
      <c r="F3" s="6" t="inlineStr">
        <is>
          <t>物品描述多语言Key</t>
        </is>
      </c>
      <c r="G3" s="6" t="inlineStr">
        <is>
          <t>物品类型</t>
        </is>
      </c>
      <c r="H3" s="6" t="inlineStr">
        <is>
          <t>堆叠数</t>
        </is>
      </c>
      <c r="I3" s="6" t="inlineStr">
        <is>
          <t>品质</t>
        </is>
      </c>
      <c r="J3" s="6" t="inlineStr">
        <is>
          <t>格子</t>
        </is>
      </c>
      <c r="K3" s="6" t="inlineStr">
        <is>
          <t>解锁条件id</t>
        </is>
      </c>
      <c r="L3" s="6" t="inlineStr">
        <is>
          <t>关联参数0</t>
        </is>
      </c>
      <c r="M3" s="6" t="inlineStr">
        <is>
          <t>关联参数1</t>
        </is>
      </c>
      <c r="N3" s="6" t="inlineStr">
        <is>
          <t>图标</t>
        </is>
      </c>
    </row>
    <row r="4">
      <c r="A4" s="7" t="inlineStr">
        <is>
          <t># 货币与定制物品 (Currency &amp; Custom Items)</t>
        </is>
      </c>
    </row>
    <row r="5">
      <c r="A5" s="7" t="n"/>
      <c r="B5" s="7" t="n">
        <v>1001001</v>
      </c>
      <c r="C5" s="7" t="inlineStr">
        <is>
          <t>黄金</t>
        </is>
      </c>
      <c r="D5" s="7" t="inlineStr">
        <is>
          <t>Item.Name_1001001</t>
        </is>
      </c>
      <c r="E5" s="7" t="inlineStr">
        <is>
          <t>顶级货币（充值/活动），用于加速、购买特权</t>
        </is>
      </c>
      <c r="F5" s="7" t="inlineStr">
        <is>
          <t>Item.Desc_1001001</t>
        </is>
      </c>
      <c t="str" r="G5" s="7">
        <f>IF(B5="","",INT(B5/1000000))</f>
        <v>1</v>
      </c>
      <c r="H5" s="7" t="n">
        <v>0</v>
      </c>
      <c t="str" r="I5" s="7">
        <f>IF(B5="","",MOD(INT(B5/1000),10))</f>
        <v>1</v>
      </c>
      <c r="J5" s="7" t="b">
        <v>0</v>
      </c>
      <c r="K5" s="7" t="n"/>
      <c r="L5" s="7" t="n"/>
      <c r="M5" s="7" t="n"/>
      <c t="str" r="N5" s="7">
        <f>IF(B5="","","Assets/Game/Textures/Icon/Item/icon_item_"&amp;B5&amp;".png")</f>
        <v>Assets/Game/Textures/Icon/Item/icon_item_1001001.png</v>
      </c>
    </row>
    <row r="6">
      <c r="A6" s="7" t="n"/>
      <c r="B6" s="7" t="n">
        <v>1001002</v>
      </c>
      <c r="C6" s="7" t="inlineStr">
        <is>
          <t>白银</t>
        </is>
      </c>
      <c r="D6" s="7" t="inlineStr">
        <is>
          <t>Item.Name_1001002</t>
        </is>
      </c>
      <c r="E6" s="7" t="inlineStr">
        <is>
          <t>高级货币，用于将领俸禄、稀有道具购买</t>
        </is>
      </c>
      <c r="F6" s="7" t="inlineStr">
        <is>
          <t>Item.Desc_1001002</t>
        </is>
      </c>
      <c t="str" r="G6" s="7">
        <f>IF(B6="","",INT(B6/1000000))</f>
        <v>1</v>
      </c>
      <c r="H6" s="7" t="n">
        <v>0</v>
      </c>
      <c t="str" r="I6" s="7">
        <f>IF(B6="","",MOD(INT(B6/1000),10))</f>
        <v>1</v>
      </c>
      <c r="J6" s="7" t="b">
        <v>0</v>
      </c>
      <c r="K6" s="7" t="n"/>
      <c r="L6" s="7" t="n"/>
      <c r="M6" s="7" t="n"/>
      <c t="str" r="N6" s="7">
        <f>IF(B6="","","Assets/Game/Textures/Icon/Item/icon_item_"&amp;B6&amp;".png")</f>
        <v>Assets/Game/Textures/Icon/Item/icon_item_1001002.png</v>
      </c>
    </row>
    <row r="7">
      <c r="A7" s="7" t="n"/>
      <c r="B7" s="7" t="n">
        <v>1001003</v>
      </c>
      <c r="C7" s="7" t="inlineStr">
        <is>
          <t>铜钱</t>
        </is>
      </c>
      <c r="D7" s="7" t="inlineStr">
        <is>
          <t>Item.Name_1001003</t>
        </is>
      </c>
      <c r="E7" s="7" t="inlineStr">
        <is>
          <t>基础货币，用于市场买卖、低级招募</t>
        </is>
      </c>
      <c r="F7" s="7" t="inlineStr">
        <is>
          <t>Item.Desc_1001003</t>
        </is>
      </c>
      <c t="str" r="G7" s="7">
        <f>IF(B7="","",INT(B7/1000000))</f>
        <v>1</v>
      </c>
      <c r="H7" s="7" t="n">
        <v>0</v>
      </c>
      <c t="str" r="I7" s="7">
        <f>IF(B7="","",MOD(INT(B7/1000),10))</f>
        <v>1</v>
      </c>
      <c r="J7" s="7" t="b">
        <v>0</v>
      </c>
      <c r="K7" s="7" t="n"/>
      <c r="L7" s="7" t="n"/>
      <c r="M7" s="7" t="n"/>
      <c t="str" r="N7" s="7">
        <f>IF(B7="","","Assets/Game/Textures/Icon/Item/icon_item_"&amp;B7&amp;".png")</f>
        <v>Assets/Game/Textures/Icon/Item/icon_item_1001003.png</v>
      </c>
    </row>
    <row r="8">
      <c r="A8" s="7" t="n"/>
      <c r="B8" s="7" t="n">
        <v>1001004</v>
      </c>
      <c r="C8" s="7" t="inlineStr">
        <is>
          <t>人口</t>
        </is>
      </c>
      <c r="D8" s="7" t="inlineStr">
        <is>
          <t>Item.Name_1001004</t>
        </is>
      </c>
      <c r="E8" s="7" t="inlineStr">
        <is>
          <t>招募士兵所需的基础人口资源</t>
        </is>
      </c>
      <c r="F8" s="7" t="inlineStr">
        <is>
          <t>Item.Desc_1001004</t>
        </is>
      </c>
      <c t="str" r="G8" s="7">
        <f>IF(B8="","",INT(B8/1000000))</f>
        <v>1</v>
      </c>
      <c r="H8" s="7" t="n">
        <v>0</v>
      </c>
      <c t="str" r="I8" s="7">
        <f>IF(B8="","",MOD(INT(B8/1000),10))</f>
        <v>1</v>
      </c>
      <c r="J8" s="7" t="b">
        <v>0</v>
      </c>
      <c r="K8" s="7" t="n"/>
      <c r="L8" s="7" t="n"/>
      <c r="M8" s="7" t="n"/>
      <c t="str" r="N8" s="7">
        <f>IF(B8="","","Assets/Game/Textures/Icon/Item/icon_item_"&amp;B8&amp;".png")</f>
        <v>Assets/Game/Textures/Icon/Item/icon_item_1001004.png</v>
      </c>
    </row>
    <row r="9">
      <c r="A9" s="7" t="n"/>
      <c r="B9" s="7" t="n">
        <v>1011001</v>
      </c>
      <c r="C9" s="7" t="inlineStr">
        <is>
          <t>改名卡</t>
        </is>
      </c>
      <c r="D9" s="7" t="inlineStr">
        <is>
          <t>Item.Name_1011001</t>
        </is>
      </c>
      <c r="E9" s="7" t="n"/>
      <c r="F9" s="7" t="inlineStr">
        <is>
          <t>Item.Desc_1011001</t>
        </is>
      </c>
      <c t="str" r="G9" s="7">
        <f>IF(B9="","",INT(B9/1000000))</f>
        <v>1</v>
      </c>
      <c r="H9" s="7" t="n">
        <v>0</v>
      </c>
      <c t="str" r="I9" s="7">
        <f>IF(B9="","",MOD(INT(B9/1000),10))</f>
        <v>1</v>
      </c>
      <c r="J9" s="7" t="b">
        <v>0</v>
      </c>
      <c r="K9" s="7" t="n"/>
      <c r="L9" s="7" t="n"/>
      <c r="M9" s="7" t="n"/>
      <c t="str" r="N9" s="7">
        <f>IF(B9="","","Assets/Game/Textures/Icon/Item/icon_item_"&amp;B9&amp;".png")</f>
        <v>Assets/Game/Textures/Icon/Item/icon_item_1011001.png</v>
      </c>
    </row>
    <row r="10">
      <c r="A10" s="7" t="n"/>
      <c r="B10" s="7" t="n">
        <v>1021001</v>
      </c>
      <c r="C10" s="7" t="inlineStr">
        <is>
          <t>声望</t>
        </is>
      </c>
      <c r="D10" s="7" t="inlineStr">
        <is>
          <t>Item.Name_1021001</t>
        </is>
      </c>
      <c r="E10" s="7" t="inlineStr">
        <is>
          <t>通过完成任务和事件获得，解锁高级爵位与特殊NPC互动</t>
        </is>
      </c>
      <c r="F10" s="7" t="inlineStr">
        <is>
          <t>Item.Desc_1021001</t>
        </is>
      </c>
      <c t="str" r="G10" s="7">
        <f>IF(B10="","",INT(B10/1000000))</f>
        <v>1</v>
      </c>
      <c r="H10" s="7" t="n">
        <v>0</v>
      </c>
      <c t="str" r="I10" s="7">
        <f>IF(B10="","",MOD(INT(B10/1000),10))</f>
        <v>1</v>
      </c>
      <c r="J10" s="7" t="b">
        <v>0</v>
      </c>
      <c r="K10" s="7" t="n"/>
      <c r="L10" s="7" t="n"/>
      <c r="M10" s="7" t="n"/>
      <c t="str" r="N10" s="7">
        <f>IF(B10="","","Assets/Game/Textures/Icon/Item/icon_item_"&amp;B10&amp;".png")</f>
        <v>Assets/Game/Textures/Icon/Item/icon_item_1021001.png</v>
      </c>
    </row>
    <row r="11">
      <c r="A11" s="7" t="n"/>
      <c r="B11" s="7" t="n">
        <v>1021002</v>
      </c>
      <c r="C11" s="7" t="inlineStr">
        <is>
          <t>功勋</t>
        </is>
      </c>
      <c r="D11" s="7" t="inlineStr">
        <is>
          <t>Item.Name_1021002</t>
        </is>
      </c>
      <c r="E11" s="7" t="inlineStr">
        <is>
          <t>通过PVP战斗和国家任务获得，用于兑换专属装备与称号</t>
        </is>
      </c>
      <c r="F11" s="7" t="inlineStr">
        <is>
          <t>Item.Desc_1021002</t>
        </is>
      </c>
      <c t="str" r="G11" s="7">
        <f>IF(B11="","",INT(B11/1000000))</f>
        <v>1</v>
      </c>
      <c r="H11" s="7" t="n">
        <v>0</v>
      </c>
      <c t="str" r="I11" s="7">
        <f>IF(B11="","",MOD(INT(B11/1000),10))</f>
        <v>1</v>
      </c>
      <c r="J11" s="7" t="b">
        <v>0</v>
      </c>
      <c r="K11" s="7" t="n"/>
      <c r="L11" s="7" t="n"/>
      <c r="M11" s="7" t="n"/>
      <c t="str" r="N11" s="7">
        <f>IF(B11="","","Assets/Game/Textures/Icon/Item/icon_item_"&amp;B11&amp;".png")</f>
        <v>Assets/Game/Textures/Icon/Item/icon_item_1021002.png</v>
      </c>
    </row>
    <row r="13">
      <c r="A13" s="7" t="inlineStr">
        <is>
          <t># 头像 (Avatar Items)</t>
        </is>
      </c>
    </row>
    <row r="14">
      <c r="A14" s="7" t="n"/>
      <c r="B14" s="7" t="n">
        <v>4011001</v>
      </c>
      <c r="C14" s="7" t="inlineStr">
        <is>
          <t>默认头像</t>
        </is>
      </c>
      <c r="D14" s="7" t="inlineStr">
        <is>
          <t>Item.Name_4011001</t>
        </is>
      </c>
      <c r="E14" s="7" t="n"/>
      <c r="F14" s="7" t="inlineStr">
        <is>
          <t>Item.Desc_4011001</t>
        </is>
      </c>
      <c t="str" r="G14" s="7">
        <f>IF(B14="","",INT(B14/1000000))</f>
        <v>4</v>
      </c>
      <c r="H14" s="7" t="n">
        <v>0</v>
      </c>
      <c t="str" r="I14" s="7">
        <f>IF(B14="","",MOD(INT(B14/1000),10))</f>
        <v>1</v>
      </c>
      <c r="J14" s="7" t="b">
        <v>0</v>
      </c>
      <c r="K14" s="7" t="n"/>
      <c r="L14" s="7" t="n"/>
      <c r="M14" s="7" t="n"/>
      <c t="str" r="N14" s="7">
        <f>IF(B14="","","Assets/Game/Textures/Icon/Item/icon_item_"&amp;B14&amp;".png")</f>
        <v>Assets/Game/Textures/Icon/Item/icon_item_4011001.png</v>
      </c>
    </row>
    <row r="15">
      <c r="A15" s="7" t="n"/>
      <c r="B15" s="7" t="n">
        <v>4024001</v>
      </c>
      <c r="C15" s="7" t="inlineStr">
        <is>
          <t>头像-嬴政</t>
        </is>
      </c>
      <c r="D15" s="7" t="inlineStr">
        <is>
          <t>Item.Name_4024001</t>
        </is>
      </c>
      <c r="E15" s="7" t="n"/>
      <c r="F15" s="7" t="inlineStr">
        <is>
          <t>Item.Desc_4024001</t>
        </is>
      </c>
      <c t="str" r="G15" s="7">
        <f>IF(B15="","",INT(B15/1000000))</f>
        <v>4</v>
      </c>
      <c r="H15" s="7" t="n">
        <v>0</v>
      </c>
      <c t="str" r="I15" s="7">
        <f>IF(B15="","",MOD(INT(B15/1000),10))</f>
        <v>4</v>
      </c>
      <c r="J15" s="7" t="b">
        <v>0</v>
      </c>
      <c r="K15" s="7" t="n">
        <v>300324001</v>
      </c>
      <c r="L15" s="7" t="n"/>
      <c r="M15" s="7" t="n"/>
      <c t="str" r="N15" s="7">
        <f>IF(B15="","","Assets/Game/Textures/Icon/Item/icon_item_"&amp;B15&amp;".png")</f>
        <v>Assets/Game/Textures/Icon/Item/icon_item_4024001.png</v>
      </c>
    </row>
    <row r="16">
      <c r="A16" s="7" t="n"/>
      <c r="B16" s="7" t="n">
        <v>4024002</v>
      </c>
      <c r="C16" s="7" t="inlineStr">
        <is>
          <t>头像-刘彻</t>
        </is>
      </c>
      <c r="D16" s="7" t="inlineStr">
        <is>
          <t>Item.Name_4024002</t>
        </is>
      </c>
      <c r="E16" s="7" t="n"/>
      <c r="F16" s="7" t="inlineStr">
        <is>
          <t>Item.Desc_4024002</t>
        </is>
      </c>
      <c t="str" r="G16" s="7">
        <f>IF(B16="","",INT(B16/1000000))</f>
        <v>4</v>
      </c>
      <c r="H16" s="7" t="n">
        <v>0</v>
      </c>
      <c t="str" r="I16" s="7">
        <f>IF(B16="","",MOD(INT(B16/1000),10))</f>
        <v>4</v>
      </c>
      <c r="J16" s="7" t="b">
        <v>0</v>
      </c>
      <c r="K16" s="7" t="n">
        <v>300324002</v>
      </c>
      <c r="L16" s="7" t="n"/>
      <c r="M16" s="7" t="n"/>
      <c t="str" r="N16" s="7">
        <f>IF(B16="","","Assets/Game/Textures/Icon/Item/icon_item_"&amp;B16&amp;".png")</f>
        <v>Assets/Game/Textures/Icon/Item/icon_item_4024002.png</v>
      </c>
    </row>
    <row r="17">
      <c r="A17" s="7" t="n"/>
      <c r="B17" s="7" t="n">
        <v>4024003</v>
      </c>
      <c r="C17" s="7" t="inlineStr">
        <is>
          <t>头像-李世民</t>
        </is>
      </c>
      <c r="D17" s="7" t="inlineStr">
        <is>
          <t>Item.Name_4024003</t>
        </is>
      </c>
      <c r="E17" s="7" t="n"/>
      <c r="F17" s="7" t="inlineStr">
        <is>
          <t>Item.Desc_4024003</t>
        </is>
      </c>
      <c t="str" r="G17" s="7">
        <f>IF(B17="","",INT(B17/1000000))</f>
        <v>4</v>
      </c>
      <c r="H17" s="7" t="n">
        <v>0</v>
      </c>
      <c t="str" r="I17" s="7">
        <f>IF(B17="","",MOD(INT(B17/1000),10))</f>
        <v>4</v>
      </c>
      <c r="J17" s="7" t="b">
        <v>0</v>
      </c>
      <c r="K17" s="7" t="n">
        <v>300324003</v>
      </c>
      <c r="L17" s="7" t="n"/>
      <c r="M17" s="7" t="n"/>
      <c t="str" r="N17" s="7">
        <f>IF(B17="","","Assets/Game/Textures/Icon/Item/icon_item_"&amp;B17&amp;".png")</f>
        <v>Assets/Game/Textures/Icon/Item/icon_item_4024003.png</v>
      </c>
    </row>
    <row r="18">
      <c r="A18" s="7" t="n"/>
      <c r="B18" s="7" t="n">
        <v>4034001</v>
      </c>
      <c r="C18" s="7" t="inlineStr">
        <is>
          <t>头像-赵飞燕</t>
        </is>
      </c>
      <c r="D18" s="7" t="inlineStr">
        <is>
          <t>Item.Name_4034001</t>
        </is>
      </c>
      <c r="E18" s="7" t="n"/>
      <c r="F18" s="7" t="inlineStr">
        <is>
          <t>Item.Desc_4034001</t>
        </is>
      </c>
      <c t="str" r="G18" s="7">
        <f>IF(B18="","",INT(B18/1000000))</f>
        <v>4</v>
      </c>
      <c r="H18" s="7" t="n">
        <v>0</v>
      </c>
      <c t="str" r="I18" s="7">
        <f>IF(B18="","",MOD(INT(B18/1000),10))</f>
        <v>4</v>
      </c>
      <c r="J18" s="7" t="b">
        <v>0</v>
      </c>
      <c r="K18" s="7" t="n">
        <v>300334001</v>
      </c>
      <c r="L18" s="7" t="n"/>
      <c r="M18" s="7" t="n"/>
      <c t="str" r="N18" s="7">
        <f>IF(B18="","","Assets/Game/Textures/Icon/Item/icon_item_"&amp;B18&amp;".png")</f>
        <v>Assets/Game/Textures/Icon/Item/icon_item_4034001.png</v>
      </c>
    </row>
    <row r="19">
      <c r="A19" s="7" t="n"/>
      <c r="B19" s="7" t="n">
        <v>4034002</v>
      </c>
      <c r="C19" s="7" t="inlineStr">
        <is>
          <t>头像-蔡文姬</t>
        </is>
      </c>
      <c r="D19" s="7" t="inlineStr">
        <is>
          <t>Item.Name_4034002</t>
        </is>
      </c>
      <c r="E19" s="7" t="n"/>
      <c r="F19" s="7" t="inlineStr">
        <is>
          <t>Item.Desc_4034002</t>
        </is>
      </c>
      <c t="str" r="G19" s="7">
        <f>IF(B19="","",INT(B19/1000000))</f>
        <v>4</v>
      </c>
      <c r="H19" s="7" t="n">
        <v>0</v>
      </c>
      <c t="str" r="I19" s="7">
        <f>IF(B19="","",MOD(INT(B19/1000),10))</f>
        <v>4</v>
      </c>
      <c r="J19" s="7" t="b">
        <v>0</v>
      </c>
      <c r="K19" s="7" t="n">
        <v>300334002</v>
      </c>
      <c r="L19" s="7" t="n"/>
      <c r="M19" s="7" t="n"/>
      <c t="str" r="N19" s="7">
        <f>IF(B19="","","Assets/Game/Textures/Icon/Item/icon_item_"&amp;B19&amp;".png")</f>
        <v>Assets/Game/Textures/Icon/Item/icon_item_4034002.png</v>
      </c>
    </row>
    <row r="20">
      <c r="A20" s="7" t="n"/>
      <c r="B20" s="7" t="n">
        <v>4034003</v>
      </c>
      <c r="C20" s="7" t="inlineStr">
        <is>
          <t>头像-杨玉环</t>
        </is>
      </c>
      <c r="D20" s="7" t="inlineStr">
        <is>
          <t>Item.Name_4034003</t>
        </is>
      </c>
      <c r="E20" s="7" t="n"/>
      <c r="F20" s="7" t="inlineStr">
        <is>
          <t>Item.Desc_4034003</t>
        </is>
      </c>
      <c t="str" r="G20" s="7">
        <f>IF(B20="","",INT(B20/1000000))</f>
        <v>4</v>
      </c>
      <c r="H20" s="7" t="n">
        <v>0</v>
      </c>
      <c t="str" r="I20" s="7">
        <f>IF(B20="","",MOD(INT(B20/1000),10))</f>
        <v>4</v>
      </c>
      <c r="J20" s="7" t="b">
        <v>0</v>
      </c>
      <c r="K20" s="7" t="n">
        <v>300334003</v>
      </c>
      <c r="L20" s="7" t="n"/>
      <c r="M20" s="7" t="n"/>
      <c t="str" r="N20" s="7">
        <f>IF(B20="","","Assets/Game/Textures/Icon/Item/icon_item_"&amp;B20&amp;".png")</f>
        <v>Assets/Game/Textures/Icon/Item/icon_item_4034003.png</v>
      </c>
    </row>
    <row r="21">
      <c r="A21" s="7" t="n"/>
      <c r="B21" s="7" t="n">
        <v>4044001</v>
      </c>
      <c r="C21" s="7" t="inlineStr">
        <is>
          <t>头像-白起</t>
        </is>
      </c>
      <c r="D21" s="7" t="inlineStr">
        <is>
          <t>Item.Name_4044001</t>
        </is>
      </c>
      <c r="E21" s="7" t="n"/>
      <c r="F21" s="7" t="inlineStr">
        <is>
          <t>Item.Desc_4044001</t>
        </is>
      </c>
      <c t="str" r="G21" s="7">
        <f>IF(B21="","",INT(B21/1000000))</f>
        <v>4</v>
      </c>
      <c r="H21" s="7" t="n">
        <v>0</v>
      </c>
      <c t="str" r="I21" s="7">
        <f>IF(B21="","",MOD(INT(B21/1000),10))</f>
        <v>4</v>
      </c>
      <c r="J21" s="7" t="b">
        <v>0</v>
      </c>
      <c r="K21" s="7" t="n">
        <v>300344001</v>
      </c>
      <c r="L21" s="7" t="n"/>
      <c r="M21" s="7" t="n"/>
      <c t="str" r="N21" s="7">
        <f>IF(B21="","","Assets/Game/Textures/Icon/Item/icon_item_"&amp;B21&amp;".png")</f>
        <v>Assets/Game/Textures/Icon/Item/icon_item_4044001.png</v>
      </c>
    </row>
    <row r="22">
      <c r="A22" s="7" t="n"/>
      <c r="B22" s="7" t="n">
        <v>4044002</v>
      </c>
      <c r="C22" s="7" t="inlineStr">
        <is>
          <t>头像-张骞</t>
        </is>
      </c>
      <c r="D22" s="7" t="inlineStr">
        <is>
          <t>Item.Name_4044002</t>
        </is>
      </c>
      <c r="E22" s="7" t="n"/>
      <c r="F22" s="7" t="inlineStr">
        <is>
          <t>Item.Desc_4044002</t>
        </is>
      </c>
      <c t="str" r="G22" s="7">
        <f>IF(B22="","",INT(B22/1000000))</f>
        <v>4</v>
      </c>
      <c r="H22" s="7" t="n">
        <v>0</v>
      </c>
      <c t="str" r="I22" s="7">
        <f>IF(B22="","",MOD(INT(B22/1000),10))</f>
        <v>4</v>
      </c>
      <c r="J22" s="7" t="b">
        <v>0</v>
      </c>
      <c r="K22" s="7" t="n">
        <v>300344002</v>
      </c>
      <c r="L22" s="7" t="n"/>
      <c r="M22" s="7" t="n"/>
      <c t="str" r="N22" s="7">
        <f>IF(B22="","","Assets/Game/Textures/Icon/Item/icon_item_"&amp;B22&amp;".png")</f>
        <v>Assets/Game/Textures/Icon/Item/icon_item_4044002.png</v>
      </c>
    </row>
    <row r="23">
      <c r="A23" s="7" t="n"/>
      <c r="B23" s="7" t="n">
        <v>4044003</v>
      </c>
      <c r="C23" s="7" t="inlineStr">
        <is>
          <t>头像-房玄龄</t>
        </is>
      </c>
      <c r="D23" s="7" t="inlineStr">
        <is>
          <t>Item.Name_4044003</t>
        </is>
      </c>
      <c r="E23" s="7" t="n"/>
      <c r="F23" s="7" t="inlineStr">
        <is>
          <t>Item.Desc_4044003</t>
        </is>
      </c>
      <c t="str" r="G23" s="7">
        <f>IF(B23="","",INT(B23/1000000))</f>
        <v>4</v>
      </c>
      <c r="H23" s="7" t="n">
        <v>0</v>
      </c>
      <c t="str" r="I23" s="7">
        <f>IF(B23="","",MOD(INT(B23/1000),10))</f>
        <v>4</v>
      </c>
      <c r="J23" s="7" t="b">
        <v>0</v>
      </c>
      <c r="K23" s="7" t="n">
        <v>300344003</v>
      </c>
      <c r="L23" s="7" t="n"/>
      <c r="M23" s="7" t="n"/>
      <c t="str" r="N23" s="7">
        <f>IF(B23="","","Assets/Game/Textures/Icon/Item/icon_item_"&amp;B23&amp;".png")</f>
        <v>Assets/Game/Textures/Icon/Item/icon_item_4044003.png</v>
      </c>
    </row>
    <row r="25">
      <c r="A25" s="7" t="inlineStr">
        <is>
          <t># 头像框 (Frame Items)</t>
        </is>
      </c>
    </row>
    <row r="26">
      <c r="A26" s="7" t="n"/>
      <c r="B26" s="7" t="n">
        <v>5011001</v>
      </c>
      <c r="C26" s="7" t="inlineStr">
        <is>
          <t>默认头像框</t>
        </is>
      </c>
      <c r="D26" s="7" t="inlineStr">
        <is>
          <t>Item.Name_5011001</t>
        </is>
      </c>
      <c r="E26" s="7" t="n"/>
      <c r="F26" s="7" t="inlineStr">
        <is>
          <t>Item.Desc_5011001</t>
        </is>
      </c>
      <c t="str" r="G26" s="7">
        <f>IF(B26="","",INT(B26/1000000))</f>
        <v>5</v>
      </c>
      <c r="H26" s="7" t="n">
        <v>0</v>
      </c>
      <c t="str" r="I26" s="7">
        <f>IF(B26="","",MOD(INT(B26/1000),10))</f>
        <v>1</v>
      </c>
      <c r="J26" s="7" t="b">
        <v>0</v>
      </c>
      <c r="K26" s="7" t="n"/>
      <c r="L26" s="7" t="n"/>
      <c r="M26" s="7" t="n"/>
      <c t="str" r="N26" s="7">
        <f>IF(B26="","","Assets/Game/Textures/Icon/Item/icon_item_"&amp;B26&amp;".png")</f>
        <v>Assets/Game/Textures/Icon/Item/icon_item_5011001.png</v>
      </c>
    </row>
    <row r="27">
      <c r="A27" s="7" t="n"/>
      <c r="B27" s="7" t="n">
        <v>5011002</v>
      </c>
      <c r="C27" s="7" t="inlineStr">
        <is>
          <t>头像框-白</t>
        </is>
      </c>
      <c r="D27" s="7" t="inlineStr">
        <is>
          <t>Item.Name_5011002</t>
        </is>
      </c>
      <c r="E27" s="7" t="n"/>
      <c r="F27" s="7" t="inlineStr">
        <is>
          <t>Item.Desc_5011002</t>
        </is>
      </c>
      <c t="str" r="G27" s="7">
        <f>IF(B27="","",INT(B27/1000000))</f>
        <v>5</v>
      </c>
      <c r="H27" s="7" t="n">
        <v>0</v>
      </c>
      <c t="str" r="I27" s="7">
        <f>IF(B27="","",MOD(INT(B27/1000),10))</f>
        <v>1</v>
      </c>
      <c r="J27" s="7" t="b">
        <v>0</v>
      </c>
      <c r="K27" s="7" t="n">
        <v>400311002</v>
      </c>
      <c r="L27" s="7" t="n"/>
      <c r="M27" s="7" t="n"/>
      <c t="str" r="N27" s="7">
        <f>IF(B27="","","Assets/Game/Textures/Icon/Item/icon_item_"&amp;B27&amp;".png")</f>
        <v>Assets/Game/Textures/Icon/Item/icon_item_5011002.png</v>
      </c>
    </row>
    <row r="28">
      <c r="A28" s="7" t="n"/>
      <c r="B28" s="7" t="n">
        <v>5011003</v>
      </c>
      <c r="C28" s="7" t="inlineStr">
        <is>
          <t>头像框-绿</t>
        </is>
      </c>
      <c r="D28" s="7" t="inlineStr">
        <is>
          <t>Item.Name_5011003</t>
        </is>
      </c>
      <c r="E28" s="7" t="n"/>
      <c r="F28" s="7" t="inlineStr">
        <is>
          <t>Item.Desc_5011003</t>
        </is>
      </c>
      <c t="str" r="G28" s="7">
        <f>IF(B28="","",INT(B28/1000000))</f>
        <v>5</v>
      </c>
      <c r="H28" s="7" t="n">
        <v>0</v>
      </c>
      <c t="str" r="I28" s="7">
        <f>IF(B28="","",MOD(INT(B28/1000),10))</f>
        <v>1</v>
      </c>
      <c r="J28" s="7" t="b">
        <v>0</v>
      </c>
      <c r="K28" s="7" t="n">
        <v>400311003</v>
      </c>
      <c r="L28" s="7" t="n"/>
      <c r="M28" s="7" t="n"/>
      <c t="str" r="N28" s="7">
        <f>IF(B28="","","Assets/Game/Textures/Icon/Item/icon_item_"&amp;B28&amp;".png")</f>
        <v>Assets/Game/Textures/Icon/Item/icon_item_5011003.png</v>
      </c>
    </row>
    <row r="29">
      <c r="A29" s="7" t="n"/>
      <c r="B29" s="7" t="n">
        <v>5011004</v>
      </c>
      <c r="C29" s="7" t="inlineStr">
        <is>
          <t>头像框-蓝</t>
        </is>
      </c>
      <c r="D29" s="7" t="inlineStr">
        <is>
          <t>Item.Name_5011004</t>
        </is>
      </c>
      <c r="E29" s="7" t="n"/>
      <c r="F29" s="7" t="inlineStr">
        <is>
          <t>Item.Desc_5011004</t>
        </is>
      </c>
      <c t="str" r="G29" s="7">
        <f>IF(B29="","",INT(B29/1000000))</f>
        <v>5</v>
      </c>
      <c r="H29" s="7" t="n">
        <v>0</v>
      </c>
      <c t="str" r="I29" s="7">
        <f>IF(B29="","",MOD(INT(B29/1000),10))</f>
        <v>1</v>
      </c>
      <c r="J29" s="7" t="b">
        <v>0</v>
      </c>
      <c r="K29" s="7" t="n">
        <v>400311004</v>
      </c>
      <c r="L29" s="7" t="n"/>
      <c r="M29" s="7" t="n"/>
      <c t="str" r="N29" s="7">
        <f>IF(B29="","","Assets/Game/Textures/Icon/Item/icon_item_"&amp;B29&amp;".png")</f>
        <v>Assets/Game/Textures/Icon/Item/icon_item_5011004.png</v>
      </c>
    </row>
    <row r="30">
      <c r="A30" s="7" t="n"/>
      <c r="B30" s="7" t="n">
        <v>5011005</v>
      </c>
      <c r="C30" s="7" t="inlineStr">
        <is>
          <t>头像框-紫</t>
        </is>
      </c>
      <c r="D30" s="7" t="inlineStr">
        <is>
          <t>Item.Name_5011005</t>
        </is>
      </c>
      <c r="E30" s="7" t="n"/>
      <c r="F30" s="7" t="inlineStr">
        <is>
          <t>Item.Desc_5011005</t>
        </is>
      </c>
      <c t="str" r="G30" s="7">
        <f>IF(B30="","",INT(B30/1000000))</f>
        <v>5</v>
      </c>
      <c r="H30" s="7" t="n">
        <v>0</v>
      </c>
      <c t="str" r="I30" s="7">
        <f>IF(B30="","",MOD(INT(B30/1000),10))</f>
        <v>1</v>
      </c>
      <c r="J30" s="7" t="b">
        <v>0</v>
      </c>
      <c r="K30" s="7" t="n">
        <v>400311005</v>
      </c>
      <c r="L30" s="7" t="n"/>
      <c r="M30" s="7" t="n"/>
      <c t="str" r="N30" s="7">
        <f>IF(B30="","","Assets/Game/Textures/Icon/Item/icon_item_"&amp;B30&amp;".png")</f>
        <v>Assets/Game/Textures/Icon/Item/icon_item_5011005.png</v>
      </c>
    </row>
    <row r="31">
      <c r="A31" s="7" t="n"/>
      <c r="B31" s="7" t="n">
        <v>5011006</v>
      </c>
      <c r="C31" s="7" t="inlineStr">
        <is>
          <t>头像框-橙</t>
        </is>
      </c>
      <c r="D31" s="7" t="inlineStr">
        <is>
          <t>Item.Name_5011006</t>
        </is>
      </c>
      <c r="E31" s="7" t="n"/>
      <c r="F31" s="7" t="inlineStr">
        <is>
          <t>Item.Desc_5011006</t>
        </is>
      </c>
      <c t="str" r="G31" s="7">
        <f>IF(B31="","",INT(B31/1000000))</f>
        <v>5</v>
      </c>
      <c r="H31" s="7" t="n">
        <v>0</v>
      </c>
      <c t="str" r="I31" s="7">
        <f>IF(B31="","",MOD(INT(B31/1000),10))</f>
        <v>1</v>
      </c>
      <c r="J31" s="7" t="b">
        <v>0</v>
      </c>
      <c r="K31" s="7" t="n">
        <v>400311006</v>
      </c>
      <c r="L31" s="7" t="n"/>
      <c r="M31" s="7" t="n"/>
      <c t="str" r="N31" s="7">
        <f>IF(B31="","","Assets/Game/Textures/Icon/Item/icon_item_"&amp;B31&amp;".png")</f>
        <v>Assets/Game/Textures/Icon/Item/icon_item_5011006.png</v>
      </c>
    </row>
    <row r="32">
      <c r="A32" s="7" t="n"/>
      <c r="B32" s="7" t="n">
        <v>5011007</v>
      </c>
      <c r="C32" s="7" t="inlineStr">
        <is>
          <t>头像框-红</t>
        </is>
      </c>
      <c r="D32" s="7" t="inlineStr">
        <is>
          <t>Item.Name_5011007</t>
        </is>
      </c>
      <c r="E32" s="7" t="n"/>
      <c r="F32" s="7" t="inlineStr">
        <is>
          <t>Item.Desc_5011007</t>
        </is>
      </c>
      <c t="str" r="G32" s="7">
        <f>IF(B32="","",INT(B32/1000000))</f>
        <v>5</v>
      </c>
      <c r="H32" s="7" t="n">
        <v>0</v>
      </c>
      <c t="str" r="I32" s="7">
        <f>IF(B32="","",MOD(INT(B32/1000),10))</f>
        <v>1</v>
      </c>
      <c r="J32" s="7" t="b">
        <v>0</v>
      </c>
      <c r="K32" s="7" t="n">
        <v>400311007</v>
      </c>
      <c r="L32" s="7" t="n"/>
      <c r="M32" s="7" t="n"/>
      <c t="str" r="N32" s="7">
        <f>IF(B32="","","Assets/Game/Textures/Icon/Item/icon_item_"&amp;B32&amp;".png")</f>
        <v>Assets/Game/Textures/Icon/Item/icon_item_5011007.png</v>
      </c>
    </row>
    <row r="34">
      <c r="A34" s="7" t="inlineStr">
        <is>
          <t># 称号 (Title Items)</t>
        </is>
      </c>
    </row>
    <row r="35">
      <c r="A35" s="7" t="n"/>
      <c r="B35" s="7" t="n">
        <v>6011001</v>
      </c>
      <c r="C35" s="7" t="inlineStr">
        <is>
          <t>从戎校尉</t>
        </is>
      </c>
      <c r="D35" s="7" t="inlineStr">
        <is>
          <t>Item.Name_6011001</t>
        </is>
      </c>
      <c r="E35" s="7" t="n"/>
      <c r="F35" s="7" t="inlineStr">
        <is>
          <t>Item.Desc_6011001</t>
        </is>
      </c>
      <c t="str" r="G35" s="7">
        <f>IF(B35="","",INT(B35/1000000))</f>
        <v>6</v>
      </c>
      <c r="H35" s="7" t="n">
        <v>0</v>
      </c>
      <c t="str" r="I35" s="7">
        <f>IF(B35="","",MOD(INT(B35/1000),10))</f>
        <v>1</v>
      </c>
      <c r="J35" s="7" t="b">
        <v>0</v>
      </c>
      <c r="K35" s="7" t="n">
        <v>500211001</v>
      </c>
      <c r="L35" s="7" t="n"/>
      <c r="M35" s="7" t="n"/>
      <c t="str" r="N35" s="7">
        <f>IF(B35="","","Assets/Game/Textures/Icon/Item/icon_item_"&amp;B35&amp;".png")</f>
        <v>Assets/Game/Textures/Icon/Item/icon_item_6011001.png</v>
      </c>
    </row>
    <row r="36">
      <c r="A36" s="7" t="n"/>
      <c r="B36" s="7" t="n">
        <v>6011002</v>
      </c>
      <c r="C36" s="7" t="inlineStr">
        <is>
          <t>讨逆先锋</t>
        </is>
      </c>
      <c r="D36" s="7" t="inlineStr">
        <is>
          <t>Item.Name_6011002</t>
        </is>
      </c>
      <c r="E36" s="7" t="n"/>
      <c r="F36" s="7" t="inlineStr">
        <is>
          <t>Item.Desc_6011002</t>
        </is>
      </c>
      <c t="str" r="G36" s="7">
        <f>IF(B36="","",INT(B36/1000000))</f>
        <v>6</v>
      </c>
      <c r="H36" s="7" t="n">
        <v>0</v>
      </c>
      <c t="str" r="I36" s="7">
        <f>IF(B36="","",MOD(INT(B36/1000),10))</f>
        <v>1</v>
      </c>
      <c r="J36" s="7" t="b">
        <v>0</v>
      </c>
      <c r="K36" s="7" t="n">
        <v>500211002</v>
      </c>
      <c r="L36" s="7" t="n"/>
      <c r="M36" s="7" t="n"/>
      <c t="str" r="N36" s="7">
        <f>IF(B36="","","Assets/Game/Textures/Icon/Item/icon_item_"&amp;B36&amp;".png")</f>
        <v>Assets/Game/Textures/Icon/Item/icon_item_6011002.png</v>
      </c>
    </row>
    <row r="37">
      <c r="A37" s="7" t="n"/>
      <c r="B37" s="7" t="n">
        <v>6011003</v>
      </c>
      <c r="C37" s="7" t="inlineStr">
        <is>
          <t>百战悍将</t>
        </is>
      </c>
      <c r="D37" s="7" t="inlineStr">
        <is>
          <t>Item.Name_6011003</t>
        </is>
      </c>
      <c r="E37" s="7" t="n"/>
      <c r="F37" s="7" t="inlineStr">
        <is>
          <t>Item.Desc_6011003</t>
        </is>
      </c>
      <c t="str" r="G37" s="7">
        <f>IF(B37="","",INT(B37/1000000))</f>
        <v>6</v>
      </c>
      <c r="H37" s="7" t="n">
        <v>0</v>
      </c>
      <c t="str" r="I37" s="7">
        <f>IF(B37="","",MOD(INT(B37/1000),10))</f>
        <v>1</v>
      </c>
      <c r="J37" s="7" t="b">
        <v>0</v>
      </c>
      <c r="K37" s="7" t="n">
        <v>500211003</v>
      </c>
      <c r="L37" s="7" t="n"/>
      <c r="M37" s="7" t="n"/>
      <c t="str" r="N37" s="7">
        <f>IF(B37="","","Assets/Game/Textures/Icon/Item/icon_item_"&amp;B37&amp;".png")</f>
        <v>Assets/Game/Textures/Icon/Item/icon_item_6011003.png</v>
      </c>
    </row>
    <row r="38">
      <c r="A38" s="7" t="n"/>
      <c r="B38" s="7" t="n">
        <v>6011004</v>
      </c>
      <c r="C38" s="7" t="inlineStr">
        <is>
          <t>持节偏军</t>
        </is>
      </c>
      <c r="D38" s="7" t="inlineStr">
        <is>
          <t>Item.Name_6011004</t>
        </is>
      </c>
      <c r="E38" s="7" t="n"/>
      <c r="F38" s="7" t="inlineStr">
        <is>
          <t>Item.Desc_6011004</t>
        </is>
      </c>
      <c t="str" r="G38" s="7">
        <f>IF(B38="","",INT(B38/1000000))</f>
        <v>6</v>
      </c>
      <c r="H38" s="7" t="n">
        <v>0</v>
      </c>
      <c t="str" r="I38" s="7">
        <f>IF(B38="","",MOD(INT(B38/1000),10))</f>
        <v>1</v>
      </c>
      <c r="J38" s="7" t="b">
        <v>0</v>
      </c>
      <c r="K38" s="7" t="n">
        <v>500211004</v>
      </c>
      <c r="L38" s="7" t="n"/>
      <c r="M38" s="7" t="n"/>
      <c t="str" r="N38" s="7">
        <f>IF(B38="","","Assets/Game/Textures/Icon/Item/icon_item_"&amp;B38&amp;".png")</f>
        <v>Assets/Game/Textures/Icon/Item/icon_item_6011004.png</v>
      </c>
    </row>
    <row r="39">
      <c r="A39" s="7" t="n"/>
      <c r="B39" s="7" t="n">
        <v>6011005</v>
      </c>
      <c r="C39" s="7" t="inlineStr">
        <is>
          <t>威武都督</t>
        </is>
      </c>
      <c r="D39" s="7" t="inlineStr">
        <is>
          <t>Item.Name_6011005</t>
        </is>
      </c>
      <c r="E39" s="7" t="n"/>
      <c r="F39" s="7" t="inlineStr">
        <is>
          <t>Item.Desc_6011005</t>
        </is>
      </c>
      <c t="str" r="G39" s="7">
        <f>IF(B39="","",INT(B39/1000000))</f>
        <v>6</v>
      </c>
      <c r="H39" s="7" t="n">
        <v>0</v>
      </c>
      <c t="str" r="I39" s="7">
        <f>IF(B39="","",MOD(INT(B39/1000),10))</f>
        <v>1</v>
      </c>
      <c r="J39" s="7" t="b">
        <v>0</v>
      </c>
      <c r="K39" s="7" t="n">
        <v>500211005</v>
      </c>
      <c r="L39" s="7" t="n"/>
      <c r="M39" s="7" t="n"/>
      <c t="str" r="N39" s="7">
        <f>IF(B39="","","Assets/Game/Textures/Icon/Item/icon_item_"&amp;B39&amp;".png")</f>
        <v>Assets/Game/Textures/Icon/Item/icon_item_6011005.png</v>
      </c>
    </row>
    <row r="40">
      <c r="A40" s="7" t="n"/>
      <c r="B40" s="7" t="n">
        <v>6011006</v>
      </c>
      <c r="C40" s="7" t="inlineStr">
        <is>
          <t>镇国大将军</t>
        </is>
      </c>
      <c r="D40" s="7" t="inlineStr">
        <is>
          <t>Item.Name_6011006</t>
        </is>
      </c>
      <c r="E40" s="7" t="n"/>
      <c r="F40" s="7" t="inlineStr">
        <is>
          <t>Item.Desc_6011006</t>
        </is>
      </c>
      <c t="str" r="G40" s="7">
        <f>IF(B40="","",INT(B40/1000000))</f>
        <v>6</v>
      </c>
      <c r="H40" s="7" t="n">
        <v>0</v>
      </c>
      <c t="str" r="I40" s="7">
        <f>IF(B40="","",MOD(INT(B40/1000),10))</f>
        <v>1</v>
      </c>
      <c r="J40" s="7" t="b">
        <v>0</v>
      </c>
      <c r="K40" s="7" t="n">
        <v>500211006</v>
      </c>
      <c r="L40" s="7" t="n"/>
      <c r="M40" s="7" t="n"/>
      <c t="str" r="N40" s="7">
        <f>IF(B40="","","Assets/Game/Textures/Icon/Item/icon_item_"&amp;B40&amp;".png")</f>
        <v>Assets/Game/Textures/Icon/Item/icon_item_6011006.png</v>
      </c>
    </row>
    <row r="41">
      <c r="A41" s="7" t="n"/>
      <c r="B41" s="7" t="n">
        <v>6011007</v>
      </c>
      <c r="C41" s="7" t="inlineStr">
        <is>
          <t>名震寰宇</t>
        </is>
      </c>
      <c r="D41" s="7" t="inlineStr">
        <is>
          <t>Item.Name_6011007</t>
        </is>
      </c>
      <c r="E41" s="7" t="n"/>
      <c r="F41" s="7" t="inlineStr">
        <is>
          <t>Item.Desc_6011007</t>
        </is>
      </c>
      <c t="str" r="G41" s="7">
        <f>IF(B41="","",INT(B41/1000000))</f>
        <v>6</v>
      </c>
      <c r="H41" s="7" t="n">
        <v>0</v>
      </c>
      <c t="str" r="I41" s="7">
        <f>IF(B41="","",MOD(INT(B41/1000),10))</f>
        <v>1</v>
      </c>
      <c r="J41" s="7" t="b">
        <v>0</v>
      </c>
      <c r="K41" s="7" t="n">
        <v>500211007</v>
      </c>
      <c r="L41" s="7" t="n"/>
      <c r="M41" s="7" t="n"/>
      <c t="str" r="N41" s="7">
        <f>IF(B41="","","Assets/Game/Textures/Icon/Item/icon_item_"&amp;B41&amp;".png")</f>
        <v>Assets/Game/Textures/Icon/Item/icon_item_6011007.png</v>
      </c>
    </row>
    <row r="42">
      <c r="A42" s="7" t="n"/>
      <c r="B42" s="7" t="n">
        <v>6011008</v>
      </c>
      <c r="C42" s="7" t="inlineStr">
        <is>
          <t>兵圣传人</t>
        </is>
      </c>
      <c r="D42" s="7" t="inlineStr">
        <is>
          <t>Item.Name_6011008</t>
        </is>
      </c>
      <c r="E42" s="7" t="n"/>
      <c r="F42" s="7" t="inlineStr">
        <is>
          <t>Item.Desc_6011008</t>
        </is>
      </c>
      <c t="str" r="G42" s="7">
        <f>IF(B42="","",INT(B42/1000000))</f>
        <v>6</v>
      </c>
      <c r="H42" s="7" t="n">
        <v>0</v>
      </c>
      <c t="str" r="I42" s="7">
        <f>IF(B42="","",MOD(INT(B42/1000),10))</f>
        <v>1</v>
      </c>
      <c r="J42" s="7" t="b">
        <v>0</v>
      </c>
      <c r="K42" s="7" t="n">
        <v>500211008</v>
      </c>
      <c r="L42" s="7" t="n"/>
      <c r="M42" s="7" t="n"/>
      <c t="str" r="N42" s="7">
        <f>IF(B42="","","Assets/Game/Textures/Icon/Item/icon_item_"&amp;B42&amp;".png")</f>
        <v>Assets/Game/Textures/Icon/Item/icon_item_6011008.png</v>
      </c>
    </row>
    <row r="43">
      <c r="A43" s="7" t="n"/>
      <c r="B43" s="7" t="n">
        <v>6011009</v>
      </c>
      <c r="C43" s="7" t="inlineStr">
        <is>
          <t>开国元勋</t>
        </is>
      </c>
      <c r="D43" s="7" t="inlineStr">
        <is>
          <t>Item.Name_6011009</t>
        </is>
      </c>
      <c r="E43" s="7" t="n"/>
      <c r="F43" s="7" t="inlineStr">
        <is>
          <t>Item.Desc_6011009</t>
        </is>
      </c>
      <c t="str" r="G43" s="7">
        <f>IF(B43="","",INT(B43/1000000))</f>
        <v>6</v>
      </c>
      <c r="H43" s="7" t="n">
        <v>0</v>
      </c>
      <c t="str" r="I43" s="7">
        <f>IF(B43="","",MOD(INT(B43/1000),10))</f>
        <v>1</v>
      </c>
      <c r="J43" s="7" t="b">
        <v>0</v>
      </c>
      <c r="K43" s="7" t="n">
        <v>500211009</v>
      </c>
      <c r="L43" s="7" t="n"/>
      <c r="M43" s="7" t="n"/>
      <c t="str" r="N43" s="7">
        <f>IF(B43="","","Assets/Game/Textures/Icon/Item/icon_item_"&amp;B43&amp;".png")</f>
        <v>Assets/Game/Textures/Icon/Item/icon_item_6011009.png</v>
      </c>
    </row>
    <row r="44">
      <c r="A44" s="7" t="n"/>
      <c r="B44" s="7" t="n">
        <v>6011010</v>
      </c>
      <c r="C44" s="7" t="inlineStr">
        <is>
          <t>千古战神</t>
        </is>
      </c>
      <c r="D44" s="7" t="inlineStr">
        <is>
          <t>Item.Name_6011010</t>
        </is>
      </c>
      <c r="E44" s="7" t="n"/>
      <c r="F44" s="7" t="inlineStr">
        <is>
          <t>Item.Desc_6011010</t>
        </is>
      </c>
      <c t="str" r="G44" s="7">
        <f>IF(B44="","",INT(B44/1000000))</f>
        <v>6</v>
      </c>
      <c r="H44" s="7" t="n">
        <v>0</v>
      </c>
      <c t="str" r="I44" s="7">
        <f>IF(B44="","",MOD(INT(B44/1000),10))</f>
        <v>1</v>
      </c>
      <c r="J44" s="7" t="b">
        <v>0</v>
      </c>
      <c r="K44" s="7" t="n">
        <v>500211010</v>
      </c>
      <c r="L44" s="7" t="n"/>
      <c r="M44" s="7" t="n"/>
      <c t="str" r="N44" s="7">
        <f>IF(B44="","","Assets/Game/Textures/Icon/Item/icon_item_"&amp;B44&amp;".png")</f>
        <v>Assets/Game/Textures/Icon/Item/icon_item_6011010.png</v>
      </c>
    </row>
    <row r="46">
      <c r="A46" s="7" t="inlineStr">
        <is>
          <t># 英雄 (Hero Items)</t>
        </is>
      </c>
    </row>
    <row r="47">
      <c r="A47" s="7" t="n"/>
      <c r="B47" s="7" t="n">
        <v>7024001</v>
      </c>
      <c r="C47" s="7" t="inlineStr">
        <is>
          <t>嬴政</t>
        </is>
      </c>
      <c r="D47" s="7" t="inlineStr">
        <is>
          <t>Item.Name_7024001</t>
        </is>
      </c>
      <c r="E47" s="7" t="n"/>
      <c r="F47" s="7" t="inlineStr">
        <is>
          <t>Item.Desc_7024001</t>
        </is>
      </c>
      <c t="str" r="G47" s="7">
        <f>IF(B47="","",INT(B47/1000000))</f>
        <v>7</v>
      </c>
      <c r="H47" s="7" t="n">
        <v>0</v>
      </c>
      <c t="str" r="I47" s="7">
        <f>IF(B47="","",MOD(INT(B47/1000),10))</f>
        <v>4</v>
      </c>
      <c r="J47" s="7" t="b">
        <v>0</v>
      </c>
      <c r="K47" s="7" t="n"/>
      <c r="L47" s="7" t="n"/>
      <c r="M47" s="7" t="n"/>
      <c t="str" r="N47" s="7">
        <f>IF(B47="","","Assets/Game/Textures/Icon/Item/icon_item_"&amp;B47&amp;".png")</f>
        <v>Assets/Game/Textures/Icon/Item/icon_item_7024001.png</v>
      </c>
    </row>
    <row r="48">
      <c r="A48" s="7" t="n"/>
      <c r="B48" s="7" t="n">
        <v>7024002</v>
      </c>
      <c r="C48" s="7" t="inlineStr">
        <is>
          <t>刘彻</t>
        </is>
      </c>
      <c r="D48" s="7" t="inlineStr">
        <is>
          <t>Item.Name_7024002</t>
        </is>
      </c>
      <c r="E48" s="7" t="n"/>
      <c r="F48" s="7" t="inlineStr">
        <is>
          <t>Item.Desc_7024002</t>
        </is>
      </c>
      <c t="str" r="G48" s="7">
        <f>IF(B48="","",INT(B48/1000000))</f>
        <v>7</v>
      </c>
      <c r="H48" s="7" t="n">
        <v>0</v>
      </c>
      <c t="str" r="I48" s="7">
        <f>IF(B48="","",MOD(INT(B48/1000),10))</f>
        <v>4</v>
      </c>
      <c r="J48" s="7" t="b">
        <v>0</v>
      </c>
      <c r="K48" s="7" t="n"/>
      <c r="L48" s="7" t="n"/>
      <c r="M48" s="7" t="n"/>
      <c t="str" r="N48" s="7">
        <f>IF(B48="","","Assets/Game/Textures/Icon/Item/icon_item_"&amp;B48&amp;".png")</f>
        <v>Assets/Game/Textures/Icon/Item/icon_item_7024002.png</v>
      </c>
    </row>
    <row r="49">
      <c r="A49" s="7" t="n"/>
      <c r="B49" s="7" t="n">
        <v>7024003</v>
      </c>
      <c r="C49" s="7" t="inlineStr">
        <is>
          <t>李世民</t>
        </is>
      </c>
      <c r="D49" s="7" t="inlineStr">
        <is>
          <t>Item.Name_7024003</t>
        </is>
      </c>
      <c r="E49" s="7" t="n"/>
      <c r="F49" s="7" t="inlineStr">
        <is>
          <t>Item.Desc_7024003</t>
        </is>
      </c>
      <c t="str" r="G49" s="7">
        <f>IF(B49="","",INT(B49/1000000))</f>
        <v>7</v>
      </c>
      <c r="H49" s="7" t="n">
        <v>0</v>
      </c>
      <c t="str" r="I49" s="7">
        <f>IF(B49="","",MOD(INT(B49/1000),10))</f>
        <v>4</v>
      </c>
      <c r="J49" s="7" t="b">
        <v>0</v>
      </c>
      <c r="K49" s="7" t="n"/>
      <c r="L49" s="7" t="n"/>
      <c r="M49" s="7" t="n"/>
      <c t="str" r="N49" s="7">
        <f>IF(B49="","","Assets/Game/Textures/Icon/Item/icon_item_"&amp;B49&amp;".png")</f>
        <v>Assets/Game/Textures/Icon/Item/icon_item_7024003.png</v>
      </c>
    </row>
    <row r="50">
      <c r="A50" s="7" t="n"/>
      <c r="B50" s="7" t="n">
        <v>7034001</v>
      </c>
      <c r="C50" s="7" t="inlineStr">
        <is>
          <t>赵飞燕</t>
        </is>
      </c>
      <c r="D50" s="7" t="inlineStr">
        <is>
          <t>Item.Name_7034001</t>
        </is>
      </c>
      <c r="E50" s="7" t="n"/>
      <c r="F50" s="7" t="inlineStr">
        <is>
          <t>Item.Desc_7034001</t>
        </is>
      </c>
      <c t="str" r="G50" s="7">
        <f>IF(B50="","",INT(B50/1000000))</f>
        <v>7</v>
      </c>
      <c r="H50" s="7" t="n">
        <v>0</v>
      </c>
      <c t="str" r="I50" s="7">
        <f>IF(B50="","",MOD(INT(B50/1000),10))</f>
        <v>4</v>
      </c>
      <c r="J50" s="7" t="b">
        <v>0</v>
      </c>
      <c r="K50" s="7" t="n"/>
      <c r="L50" s="7" t="n"/>
      <c r="M50" s="7" t="n"/>
      <c t="str" r="N50" s="7">
        <f>IF(B50="","","Assets/Game/Textures/Icon/Item/icon_item_"&amp;B50&amp;".png")</f>
        <v>Assets/Game/Textures/Icon/Item/icon_item_7034001.png</v>
      </c>
    </row>
    <row r="51">
      <c r="A51" s="7" t="n"/>
      <c r="B51" s="7" t="n">
        <v>7034002</v>
      </c>
      <c r="C51" s="7" t="inlineStr">
        <is>
          <t>蔡文姬</t>
        </is>
      </c>
      <c r="D51" s="7" t="inlineStr">
        <is>
          <t>Item.Name_7034002</t>
        </is>
      </c>
      <c r="E51" s="7" t="n"/>
      <c r="F51" s="7" t="inlineStr">
        <is>
          <t>Item.Desc_7034002</t>
        </is>
      </c>
      <c t="str" r="G51" s="7">
        <f>IF(B51="","",INT(B51/1000000))</f>
        <v>7</v>
      </c>
      <c r="H51" s="7" t="n">
        <v>0</v>
      </c>
      <c t="str" r="I51" s="7">
        <f>IF(B51="","",MOD(INT(B51/1000),10))</f>
        <v>4</v>
      </c>
      <c r="J51" s="7" t="b">
        <v>0</v>
      </c>
      <c r="K51" s="7" t="n"/>
      <c r="L51" s="7" t="n"/>
      <c r="M51" s="7" t="n"/>
      <c t="str" r="N51" s="7">
        <f>IF(B51="","","Assets/Game/Textures/Icon/Item/icon_item_"&amp;B51&amp;".png")</f>
        <v>Assets/Game/Textures/Icon/Item/icon_item_7034002.png</v>
      </c>
    </row>
    <row r="52">
      <c r="A52" s="7" t="n"/>
      <c r="B52" s="7" t="n">
        <v>7034003</v>
      </c>
      <c r="C52" s="7" t="inlineStr">
        <is>
          <t>杨玉环</t>
        </is>
      </c>
      <c r="D52" s="7" t="inlineStr">
        <is>
          <t>Item.Name_7034003</t>
        </is>
      </c>
      <c r="E52" s="7" t="n"/>
      <c r="F52" s="7" t="inlineStr">
        <is>
          <t>Item.Desc_7034003</t>
        </is>
      </c>
      <c t="str" r="G52" s="7">
        <f>IF(B52="","",INT(B52/1000000))</f>
        <v>7</v>
      </c>
      <c r="H52" s="7" t="n">
        <v>0</v>
      </c>
      <c t="str" r="I52" s="7">
        <f>IF(B52="","",MOD(INT(B52/1000),10))</f>
        <v>4</v>
      </c>
      <c r="J52" s="7" t="b">
        <v>0</v>
      </c>
      <c r="K52" s="7" t="n"/>
      <c r="L52" s="7" t="n"/>
      <c r="M52" s="7" t="n"/>
      <c t="str" r="N52" s="7">
        <f>IF(B52="","","Assets/Game/Textures/Icon/Item/icon_item_"&amp;B52&amp;".png")</f>
        <v>Assets/Game/Textures/Icon/Item/icon_item_7034003.png</v>
      </c>
    </row>
    <row r="53">
      <c r="A53" s="7" t="n"/>
      <c r="B53" s="7" t="n">
        <v>7044001</v>
      </c>
      <c r="C53" s="7" t="inlineStr">
        <is>
          <t>白起</t>
        </is>
      </c>
      <c r="D53" s="7" t="inlineStr">
        <is>
          <t>Item.Name_7044001</t>
        </is>
      </c>
      <c r="E53" s="7" t="n"/>
      <c r="F53" s="7" t="inlineStr">
        <is>
          <t>Item.Desc_7044001</t>
        </is>
      </c>
      <c t="str" r="G53" s="7">
        <f>IF(B53="","",INT(B53/1000000))</f>
        <v>7</v>
      </c>
      <c r="H53" s="7" t="n">
        <v>0</v>
      </c>
      <c t="str" r="I53" s="7">
        <f>IF(B53="","",MOD(INT(B53/1000),10))</f>
        <v>4</v>
      </c>
      <c r="J53" s="7" t="b">
        <v>0</v>
      </c>
      <c r="K53" s="7" t="n"/>
      <c r="L53" s="7" t="n"/>
      <c r="M53" s="7" t="n"/>
      <c t="str" r="N53" s="7">
        <f>IF(B53="","","Assets/Game/Textures/Icon/Item/icon_item_"&amp;B53&amp;".png")</f>
        <v>Assets/Game/Textures/Icon/Item/icon_item_7044001.png</v>
      </c>
    </row>
    <row r="54">
      <c r="A54" s="7" t="n"/>
      <c r="B54" s="7" t="n">
        <v>7044002</v>
      </c>
      <c r="C54" s="7" t="inlineStr">
        <is>
          <t>张骞</t>
        </is>
      </c>
      <c r="D54" s="7" t="inlineStr">
        <is>
          <t>Item.Name_7044002</t>
        </is>
      </c>
      <c r="E54" s="7" t="n"/>
      <c r="F54" s="7" t="inlineStr">
        <is>
          <t>Item.Desc_7044002</t>
        </is>
      </c>
      <c t="str" r="G54" s="7">
        <f>IF(B54="","",INT(B54/1000000))</f>
        <v>7</v>
      </c>
      <c r="H54" s="7" t="n">
        <v>0</v>
      </c>
      <c t="str" r="I54" s="7">
        <f>IF(B54="","",MOD(INT(B54/1000),10))</f>
        <v>4</v>
      </c>
      <c r="J54" s="7" t="b">
        <v>0</v>
      </c>
      <c r="K54" s="7" t="n"/>
      <c r="L54" s="7" t="n"/>
      <c r="M54" s="7" t="n"/>
      <c t="str" r="N54" s="7">
        <f>IF(B54="","","Assets/Game/Textures/Icon/Item/icon_item_"&amp;B54&amp;".png")</f>
        <v>Assets/Game/Textures/Icon/Item/icon_item_7044002.png</v>
      </c>
    </row>
    <row r="55">
      <c r="A55" s="7" t="n"/>
      <c r="B55" s="7" t="n">
        <v>7044003</v>
      </c>
      <c r="C55" s="7" t="inlineStr">
        <is>
          <t>房玄龄</t>
        </is>
      </c>
      <c r="D55" s="7" t="inlineStr">
        <is>
          <t>Item.Name_7044003</t>
        </is>
      </c>
      <c r="E55" s="7" t="n"/>
      <c r="F55" s="7" t="inlineStr">
        <is>
          <t>Item.Desc_7044003</t>
        </is>
      </c>
      <c t="str" r="G55" s="7">
        <f>IF(B55="","",INT(B55/1000000))</f>
        <v>7</v>
      </c>
      <c r="H55" s="7" t="n">
        <v>0</v>
      </c>
      <c t="str" r="I55" s="7">
        <f>IF(B55="","",MOD(INT(B55/1000),10))</f>
        <v>4</v>
      </c>
      <c r="J55" s="7" t="b">
        <v>0</v>
      </c>
      <c r="K55" s="7" t="n"/>
      <c r="L55" s="7" t="n"/>
      <c r="M55" s="7" t="n"/>
      <c t="str" r="N55" s="7">
        <f>IF(B55="","","Assets/Game/Textures/Icon/Item/icon_item_"&amp;B55&amp;".png")</f>
        <v>Assets/Game/Textures/Icon/Item/icon_item_7044003.png</v>
      </c>
    </row>
    <row r="57">
      <c r="A57" s="7" t="inlineStr">
        <is>
          <t># 经验相关 (Exp Items)</t>
        </is>
      </c>
    </row>
    <row r="58">
      <c r="A58" s="7" t="n"/>
      <c r="B58" s="7" t="n">
        <v>8001001</v>
      </c>
      <c r="C58" s="7" t="inlineStr">
        <is>
          <t>英雄经验</t>
        </is>
      </c>
      <c r="D58" s="7" t="inlineStr">
        <is>
          <t>Item.Name_8001001</t>
        </is>
      </c>
      <c r="E58" s="7" t="n"/>
      <c r="F58" s="7" t="inlineStr">
        <is>
          <t>Item.Desc_8001001</t>
        </is>
      </c>
      <c t="str" r="G58" s="7">
        <f>IF(B58="","",INT(B58/1000000))</f>
        <v>8</v>
      </c>
      <c r="H58" s="7" t="n">
        <v>0</v>
      </c>
      <c t="str" r="I58" s="7">
        <f>IF(B58="","",MOD(INT(B58/1000),10))</f>
        <v>1</v>
      </c>
      <c r="J58" s="7" t="b">
        <v>0</v>
      </c>
      <c r="K58" s="7" t="n"/>
      <c r="L58" s="7" t="n">
        <v>1</v>
      </c>
      <c r="M58" s="7" t="n">
        <v>1</v>
      </c>
      <c t="str" r="N58" s="7">
        <f>IF(B58="","","Assets/Game/Textures/Icon/Item/icon_item_"&amp;B58&amp;".png")</f>
        <v>Assets/Game/Textures/Icon/Item/icon_item_8001001.png</v>
      </c>
    </row>
    <row r="59">
      <c r="A59" s="7" t="n"/>
      <c r="B59" s="7" t="n">
        <v>8001002</v>
      </c>
      <c r="C59" s="7" t="inlineStr">
        <is>
          <t>VIP经验</t>
        </is>
      </c>
      <c r="D59" s="7" t="inlineStr">
        <is>
          <t>Item.Name_8001002</t>
        </is>
      </c>
      <c r="E59" s="7" t="n"/>
      <c r="F59" s="7" t="inlineStr">
        <is>
          <t>Item.Desc_8001002</t>
        </is>
      </c>
      <c t="str" r="G59" s="7">
        <f>IF(B59="","",INT(B59/1000000))</f>
        <v>8</v>
      </c>
      <c r="H59" s="7" t="n">
        <v>0</v>
      </c>
      <c t="str" r="I59" s="7">
        <f>IF(B59="","",MOD(INT(B59/1000),10))</f>
        <v>1</v>
      </c>
      <c r="J59" s="7" t="b">
        <v>0</v>
      </c>
      <c r="K59" s="7" t="n"/>
      <c r="L59" s="7" t="n">
        <v>2</v>
      </c>
      <c r="M59" s="7" t="n">
        <v>1</v>
      </c>
      <c t="str" r="N59" s="7">
        <f>IF(B59="","","Assets/Game/Textures/Icon/Item/icon_item_"&amp;B59&amp;".png")</f>
        <v>Assets/Game/Textures/Icon/Item/icon_item_8001002.png</v>
      </c>
    </row>
    <row r="61">
      <c r="A61" s="7" t="inlineStr">
        <is>
          <t># 建筑 (Building Items)</t>
        </is>
      </c>
    </row>
    <row r="62">
      <c r="A62" s="7" t="n"/>
      <c r="B62" s="7" t="n">
        <v>9011001</v>
      </c>
      <c r="C62" s="7" t="inlineStr">
        <is>
          <t>农田</t>
        </is>
      </c>
      <c r="D62" s="7" t="inlineStr">
        <is>
          <t>Item.Name_9011001</t>
        </is>
      </c>
      <c r="E62" s="7" t="n"/>
      <c r="F62" s="7" t="inlineStr">
        <is>
          <t>Item.Desc_9011001</t>
        </is>
      </c>
      <c t="str" r="G62" s="7">
        <f>IF(B62="","",INT(B62/1000000))</f>
        <v>9</v>
      </c>
      <c r="H62" s="7" t="n">
        <v>0</v>
      </c>
      <c t="str" r="I62" s="7">
        <f>IF(B62="","",MOD(INT(B62/1000),10))</f>
        <v>1</v>
      </c>
      <c r="J62" s="7" t="b">
        <v>0</v>
      </c>
      <c r="K62" s="7" t="n"/>
      <c r="L62" s="7" t="n"/>
      <c r="M62" s="7" t="n"/>
      <c t="str" r="N62" s="7">
        <f>IF(B62="","","Assets/Game/Textures/Icon/Item/icon_item_"&amp;B62&amp;".png")</f>
        <v>Assets/Game/Textures/Icon/Item/icon_item_9011001.png</v>
      </c>
    </row>
    <row r="63">
      <c r="A63" s="7" t="n"/>
      <c r="B63" s="7" t="n">
        <v>9021002</v>
      </c>
      <c r="C63" s="7" t="inlineStr">
        <is>
          <t>伐木场</t>
        </is>
      </c>
      <c r="D63" s="7" t="inlineStr">
        <is>
          <t>Item.Name_9021002</t>
        </is>
      </c>
      <c r="E63" s="7" t="n"/>
      <c r="F63" s="7" t="inlineStr">
        <is>
          <t>Item.Desc_9021002</t>
        </is>
      </c>
      <c t="str" r="G63" s="7">
        <f>IF(B63="","",INT(B63/1000000))</f>
        <v>9</v>
      </c>
      <c r="H63" s="7" t="n">
        <v>0</v>
      </c>
      <c t="str" r="I63" s="7">
        <f>IF(B63="","",MOD(INT(B63/1000),10))</f>
        <v>1</v>
      </c>
      <c r="J63" s="7" t="b">
        <v>0</v>
      </c>
      <c r="K63" s="7" t="n"/>
      <c r="L63" s="7" t="n"/>
      <c r="M63" s="7" t="n"/>
      <c t="str" r="N63" s="7">
        <f>IF(B63="","","Assets/Game/Textures/Icon/Item/icon_item_"&amp;B63&amp;".png")</f>
        <v>Assets/Game/Textures/Icon/Item/icon_item_9021002.png</v>
      </c>
    </row>
    <row r="64">
      <c r="A64" s="7" t="n"/>
      <c r="B64" s="7" t="n">
        <v>9031003</v>
      </c>
      <c r="C64" s="7" t="inlineStr">
        <is>
          <t>采石场</t>
        </is>
      </c>
      <c r="D64" s="7" t="inlineStr">
        <is>
          <t>Item.Name_9031003</t>
        </is>
      </c>
      <c r="E64" s="7" t="n"/>
      <c r="F64" s="7" t="inlineStr">
        <is>
          <t>Item.Desc_9031003</t>
        </is>
      </c>
      <c t="str" r="G64" s="7">
        <f>IF(B64="","",INT(B64/1000000))</f>
        <v>9</v>
      </c>
      <c r="H64" s="7" t="n">
        <v>0</v>
      </c>
      <c t="str" r="I64" s="7">
        <f>IF(B64="","",MOD(INT(B64/1000),10))</f>
        <v>1</v>
      </c>
      <c r="J64" s="7" t="b">
        <v>0</v>
      </c>
      <c r="K64" s="7" t="n"/>
      <c r="L64" s="7" t="n"/>
      <c r="M64" s="7" t="n"/>
      <c t="str" r="N64" s="7">
        <f>IF(B64="","","Assets/Game/Textures/Icon/Item/icon_item_"&amp;B64&amp;".png")</f>
        <v>Assets/Game/Textures/Icon/Item/icon_item_9031003.png</v>
      </c>
    </row>
    <row r="65">
      <c r="A65" s="7" t="n"/>
      <c r="B65" s="7" t="n">
        <v>9041004</v>
      </c>
      <c r="C65" s="7" t="inlineStr">
        <is>
          <t>矿场</t>
        </is>
      </c>
      <c r="D65" s="7" t="inlineStr">
        <is>
          <t>Item.Name_9041004</t>
        </is>
      </c>
      <c r="E65" s="7" t="n"/>
      <c r="F65" s="7" t="inlineStr">
        <is>
          <t>Item.Desc_9041004</t>
        </is>
      </c>
      <c t="str" r="G65" s="7">
        <f>IF(B65="","",INT(B65/1000000))</f>
        <v>9</v>
      </c>
      <c r="H65" s="7" t="n">
        <v>0</v>
      </c>
      <c t="str" r="I65" s="7">
        <f>IF(B65="","",MOD(INT(B65/1000),10))</f>
        <v>1</v>
      </c>
      <c r="J65" s="7" t="b">
        <v>0</v>
      </c>
      <c r="K65" s="7" t="n"/>
      <c r="L65" s="7" t="n"/>
      <c r="M65" s="7" t="n"/>
      <c t="str" r="N65" s="7">
        <f>IF(B65="","","Assets/Game/Textures/Icon/Item/icon_item_"&amp;B65&amp;".png")</f>
        <v>Assets/Game/Textures/Icon/Item/icon_item_9041004.png</v>
      </c>
    </row>
    <row r="66">
      <c r="A66" s="7" t="n"/>
      <c r="B66" s="7" t="n">
        <v>9051005</v>
      </c>
      <c r="C66" s="7" t="inlineStr">
        <is>
          <t>民居</t>
        </is>
      </c>
      <c r="D66" s="7" t="inlineStr">
        <is>
          <t>Item.Name_9051005</t>
        </is>
      </c>
      <c r="E66" s="7" t="n"/>
      <c r="F66" s="7" t="inlineStr">
        <is>
          <t>Item.Desc_9051005</t>
        </is>
      </c>
      <c t="str" r="G66" s="7">
        <f>IF(B66="","",INT(B66/1000000))</f>
        <v>9</v>
      </c>
      <c r="H66" s="7" t="n">
        <v>0</v>
      </c>
      <c t="str" r="I66" s="7">
        <f>IF(B66="","",MOD(INT(B66/1000),10))</f>
        <v>1</v>
      </c>
      <c r="J66" s="7" t="b">
        <v>0</v>
      </c>
      <c r="K66" s="7" t="n"/>
      <c r="L66" s="7" t="n"/>
      <c r="M66" s="7" t="n"/>
      <c t="str" r="N66" s="7">
        <f>IF(B66="","","Assets/Game/Textures/Icon/Item/icon_item_"&amp;B66&amp;".png")</f>
        <v>Assets/Game/Textures/Icon/Item/icon_item_9051005.png</v>
      </c>
    </row>
    <row r="67">
      <c r="A67" s="7" t="n"/>
      <c r="B67" s="7" t="n">
        <v>9061006</v>
      </c>
      <c r="C67" s="7" t="inlineStr">
        <is>
          <t>府衙</t>
        </is>
      </c>
      <c r="D67" s="7" t="inlineStr">
        <is>
          <t>Item.Name_9061006</t>
        </is>
      </c>
      <c r="E67" s="7" t="n"/>
      <c r="F67" s="7" t="inlineStr">
        <is>
          <t>Item.Desc_9061006</t>
        </is>
      </c>
      <c t="str" r="G67" s="7">
        <f>IF(B67="","",INT(B67/1000000))</f>
        <v>9</v>
      </c>
      <c r="H67" s="7" t="n">
        <v>0</v>
      </c>
      <c t="str" r="I67" s="7">
        <f>IF(B67="","",MOD(INT(B67/1000),10))</f>
        <v>1</v>
      </c>
      <c r="J67" s="7" t="b">
        <v>0</v>
      </c>
      <c r="K67" s="7" t="n"/>
      <c r="L67" s="7" t="n"/>
      <c r="M67" s="7" t="n"/>
      <c t="str" r="N67" s="7">
        <f>IF(B67="","","Assets/Game/Textures/Icon/Item/icon_item_"&amp;B67&amp;".png")</f>
        <v>Assets/Game/Textures/Icon/Item/icon_item_9061006.png</v>
      </c>
    </row>
    <row r="68">
      <c r="A68" s="7" t="n"/>
      <c r="B68" s="7" t="n">
        <v>9071007</v>
      </c>
      <c r="C68" s="7" t="inlineStr">
        <is>
          <t>兵营</t>
        </is>
      </c>
      <c r="D68" s="7" t="inlineStr">
        <is>
          <t>Item.Name_9071007</t>
        </is>
      </c>
      <c r="E68" s="7" t="n"/>
      <c r="F68" s="7" t="inlineStr">
        <is>
          <t>Item.Desc_9071007</t>
        </is>
      </c>
      <c t="str" r="G68" s="7">
        <f>IF(B68="","",INT(B68/1000000))</f>
        <v>9</v>
      </c>
      <c r="H68" s="7" t="n">
        <v>0</v>
      </c>
      <c t="str" r="I68" s="7">
        <f>IF(B68="","",MOD(INT(B68/1000),10))</f>
        <v>1</v>
      </c>
      <c r="J68" s="7" t="b">
        <v>0</v>
      </c>
      <c r="K68" s="7" t="n"/>
      <c r="L68" s="7" t="n"/>
      <c r="M68" s="7" t="n"/>
      <c t="str" r="N68" s="7">
        <f>IF(B68="","","Assets/Game/Textures/Icon/Item/icon_item_"&amp;B68&amp;".png")</f>
        <v>Assets/Game/Textures/Icon/Item/icon_item_9071007.png</v>
      </c>
    </row>
    <row r="69">
      <c r="A69" s="7" t="n"/>
      <c r="B69" s="7" t="n">
        <v>9081008</v>
      </c>
      <c r="C69" s="7" t="inlineStr">
        <is>
          <t>靶场</t>
        </is>
      </c>
      <c r="D69" s="7" t="inlineStr">
        <is>
          <t>Item.Name_9081008</t>
        </is>
      </c>
      <c r="E69" s="7" t="n"/>
      <c r="F69" s="7" t="inlineStr">
        <is>
          <t>Item.Desc_9081008</t>
        </is>
      </c>
      <c t="str" r="G69" s="7">
        <f>IF(B69="","",INT(B69/1000000))</f>
        <v>9</v>
      </c>
      <c r="H69" s="7" t="n">
        <v>0</v>
      </c>
      <c t="str" r="I69" s="7">
        <f>IF(B69="","",MOD(INT(B69/1000),10))</f>
        <v>1</v>
      </c>
      <c r="J69" s="7" t="b">
        <v>0</v>
      </c>
      <c r="K69" s="7" t="n"/>
      <c r="L69" s="7" t="n"/>
      <c r="M69" s="7" t="n"/>
      <c t="str" r="N69" s="7">
        <f>IF(B69="","","Assets/Game/Textures/Icon/Item/icon_item_"&amp;B69&amp;".png")</f>
        <v>Assets/Game/Textures/Icon/Item/icon_item_9081008.png</v>
      </c>
    </row>
    <row r="70">
      <c r="A70" s="7" t="n"/>
      <c r="B70" s="7" t="n">
        <v>9091009</v>
      </c>
      <c r="C70" s="7" t="inlineStr">
        <is>
          <t>马厩</t>
        </is>
      </c>
      <c r="D70" s="7" t="inlineStr">
        <is>
          <t>Item.Name_9091009</t>
        </is>
      </c>
      <c r="E70" s="7" t="n"/>
      <c r="F70" s="7" t="inlineStr">
        <is>
          <t>Item.Desc_9091009</t>
        </is>
      </c>
      <c t="str" r="G70" s="7">
        <f>IF(B70="","",INT(B70/1000000))</f>
        <v>9</v>
      </c>
      <c r="H70" s="7" t="n">
        <v>0</v>
      </c>
      <c t="str" r="I70" s="7">
        <f>IF(B70="","",MOD(INT(B70/1000),10))</f>
        <v>1</v>
      </c>
      <c r="J70" s="7" t="b">
        <v>0</v>
      </c>
      <c r="K70" s="7" t="n"/>
      <c r="L70" s="7" t="n"/>
      <c r="M70" s="7" t="n"/>
      <c t="str" r="N70" s="7">
        <f>IF(B70="","","Assets/Game/Textures/Icon/Item/icon_item_"&amp;B70&amp;".png")</f>
        <v>Assets/Game/Textures/Icon/Item/icon_item_9091009.png</v>
      </c>
    </row>
    <row r="71">
      <c r="A71" s="7" t="n"/>
      <c r="B71" s="7" t="n">
        <v>9101010</v>
      </c>
      <c r="C71" s="7" t="inlineStr">
        <is>
          <t>工坊</t>
        </is>
      </c>
      <c r="D71" s="7" t="inlineStr">
        <is>
          <t>Item.Name_9101010</t>
        </is>
      </c>
      <c r="E71" s="7" t="n"/>
      <c r="F71" s="7" t="inlineStr">
        <is>
          <t>Item.Desc_9101010</t>
        </is>
      </c>
      <c t="str" r="G71" s="7">
        <f>IF(B71="","",INT(B71/1000000))</f>
        <v>9</v>
      </c>
      <c r="H71" s="7" t="n">
        <v>0</v>
      </c>
      <c t="str" r="I71" s="7">
        <f>IF(B71="","",MOD(INT(B71/1000),10))</f>
        <v>1</v>
      </c>
      <c r="J71" s="7" t="b">
        <v>0</v>
      </c>
      <c r="K71" s="7" t="n"/>
      <c r="L71" s="7" t="n"/>
      <c r="M71" s="7" t="n"/>
      <c t="str" r="N71" s="7">
        <f>IF(B71="","","Assets/Game/Textures/Icon/Item/icon_item_"&amp;B71&amp;".png")</f>
        <v>Assets/Game/Textures/Icon/Item/icon_item_9101010.png</v>
      </c>
    </row>
    <row r="72">
      <c r="A72" s="7" t="n"/>
      <c r="B72" s="7" t="n">
        <v>9111011</v>
      </c>
      <c r="C72" s="7" t="inlineStr">
        <is>
          <t>城墙</t>
        </is>
      </c>
      <c r="D72" s="7" t="inlineStr">
        <is>
          <t>Item.Name_9111011</t>
        </is>
      </c>
      <c r="E72" s="7" t="n"/>
      <c r="F72" s="7" t="inlineStr">
        <is>
          <t>Item.Desc_9111011</t>
        </is>
      </c>
      <c t="str" r="G72" s="7">
        <f>IF(B72="","",INT(B72/1000000))</f>
        <v>9</v>
      </c>
      <c r="H72" s="7" t="n">
        <v>0</v>
      </c>
      <c t="str" r="I72" s="7">
        <f>IF(B72="","",MOD(INT(B72/1000),10))</f>
        <v>1</v>
      </c>
      <c r="J72" s="7" t="b">
        <v>0</v>
      </c>
      <c r="K72" s="7" t="n"/>
      <c r="L72" s="7" t="n"/>
      <c r="M72" s="7" t="n"/>
      <c t="str" r="N72" s="7">
        <f>IF(B72="","","Assets/Game/Textures/Icon/Item/icon_item_"&amp;B72&amp;".png")</f>
        <v>Assets/Game/Textures/Icon/Item/icon_item_9111011.png</v>
      </c>
    </row>
    <row r="73">
      <c r="A73" s="7" t="n"/>
      <c r="B73" s="7" t="n">
        <v>9121012</v>
      </c>
      <c r="C73" s="7" t="inlineStr">
        <is>
          <t>箭塔</t>
        </is>
      </c>
      <c r="D73" s="7" t="inlineStr">
        <is>
          <t>Item.Name_9121012</t>
        </is>
      </c>
      <c r="E73" s="7" t="n"/>
      <c r="F73" s="7" t="inlineStr">
        <is>
          <t>Item.Desc_9121012</t>
        </is>
      </c>
      <c t="str" r="G73" s="7">
        <f>IF(B73="","",INT(B73/1000000))</f>
        <v>9</v>
      </c>
      <c r="H73" s="7" t="n">
        <v>0</v>
      </c>
      <c t="str" r="I73" s="7">
        <f>IF(B73="","",MOD(INT(B73/1000),10))</f>
        <v>1</v>
      </c>
      <c r="J73" s="7" t="b">
        <v>0</v>
      </c>
      <c r="K73" s="7" t="n"/>
      <c r="L73" s="7" t="n"/>
      <c r="M73" s="7" t="n"/>
      <c t="str" r="N73" s="7">
        <f>IF(B73="","","Assets/Game/Textures/Icon/Item/icon_item_"&amp;B73&amp;".png")</f>
        <v>Assets/Game/Textures/Icon/Item/icon_item_9121012.png</v>
      </c>
    </row>
    <row r="74">
      <c r="A74" s="7" t="n"/>
      <c r="B74" s="7" t="n">
        <v>9131013</v>
      </c>
      <c r="C74" s="7" t="inlineStr">
        <is>
          <t>医馆</t>
        </is>
      </c>
      <c r="D74" s="7" t="inlineStr">
        <is>
          <t>Item.Name_9131013</t>
        </is>
      </c>
      <c r="E74" s="7" t="n"/>
      <c r="F74" s="7" t="inlineStr">
        <is>
          <t>Item.Desc_9131013</t>
        </is>
      </c>
      <c t="str" r="G74" s="7">
        <f>IF(B74="","",INT(B74/1000000))</f>
        <v>9</v>
      </c>
      <c r="H74" s="7" t="n">
        <v>0</v>
      </c>
      <c t="str" r="I74" s="7">
        <f>IF(B74="","",MOD(INT(B74/1000),10))</f>
        <v>1</v>
      </c>
      <c r="J74" s="7" t="b">
        <v>0</v>
      </c>
      <c r="K74" s="7" t="n"/>
      <c r="L74" s="7" t="n"/>
      <c r="M74" s="7" t="n"/>
      <c t="str" r="N74" s="7">
        <f>IF(B74="","","Assets/Game/Textures/Icon/Item/icon_item_"&amp;B74&amp;".png")</f>
        <v>Assets/Game/Textures/Icon/Item/icon_item_9131013.png</v>
      </c>
    </row>
    <row r="75">
      <c r="A75" s="7" t="n"/>
      <c r="B75" s="7" t="n">
        <v>9141014</v>
      </c>
      <c r="C75" s="7" t="inlineStr">
        <is>
          <t>书院</t>
        </is>
      </c>
      <c r="D75" s="7" t="inlineStr">
        <is>
          <t>Item.Name_9141014</t>
        </is>
      </c>
      <c r="E75" s="7" t="n"/>
      <c r="F75" s="7" t="inlineStr">
        <is>
          <t>Item.Desc_9141014</t>
        </is>
      </c>
      <c t="str" r="G75" s="7">
        <f>IF(B75="","",INT(B75/1000000))</f>
        <v>9</v>
      </c>
      <c r="H75" s="7" t="n">
        <v>0</v>
      </c>
      <c t="str" r="I75" s="7">
        <f>IF(B75="","",MOD(INT(B75/1000),10))</f>
        <v>1</v>
      </c>
      <c r="J75" s="7" t="b">
        <v>0</v>
      </c>
      <c r="K75" s="7" t="n"/>
      <c r="L75" s="7" t="n"/>
      <c r="M75" s="7" t="n"/>
      <c t="str" r="N75" s="7">
        <f>IF(B75="","","Assets/Game/Textures/Icon/Item/icon_item_"&amp;B75&amp;".png")</f>
        <v>Assets/Game/Textures/Icon/Item/icon_item_9141014.png</v>
      </c>
    </row>
    <row r="76">
      <c r="A76" s="7" t="n"/>
      <c r="B76" s="7" t="n">
        <v>9151015</v>
      </c>
      <c r="C76" s="7" t="inlineStr">
        <is>
          <t>市场</t>
        </is>
      </c>
      <c r="D76" s="7" t="inlineStr">
        <is>
          <t>Item.Name_9151015</t>
        </is>
      </c>
      <c r="E76" s="7" t="n"/>
      <c r="F76" s="7" t="inlineStr">
        <is>
          <t>Item.Desc_9151015</t>
        </is>
      </c>
      <c t="str" r="G76" s="7">
        <f>IF(B76="","",INT(B76/1000000))</f>
        <v>9</v>
      </c>
      <c r="H76" s="7" t="n">
        <v>0</v>
      </c>
      <c t="str" r="I76" s="7">
        <f>IF(B76="","",MOD(INT(B76/1000),10))</f>
        <v>1</v>
      </c>
      <c r="J76" s="7" t="b">
        <v>0</v>
      </c>
      <c r="K76" s="7" t="n"/>
      <c r="L76" s="7" t="n"/>
      <c r="M76" s="7" t="n"/>
      <c t="str" r="N76" s="7">
        <f>IF(B76="","","Assets/Game/Textures/Icon/Item/icon_item_"&amp;B76&amp;".png")</f>
        <v>Assets/Game/Textures/Icon/Item/icon_item_9151015.png</v>
      </c>
    </row>
    <row r="78">
      <c r="A78" s="7" t="inlineStr">
        <is>
          <t># 资源 (Resource Items)</t>
        </is>
      </c>
    </row>
    <row r="79">
      <c r="A79" s="7" t="n"/>
      <c r="B79" s="7" t="n">
        <v>10001001</v>
      </c>
      <c r="C79" s="7" t="inlineStr">
        <is>
          <t>粮食</t>
        </is>
      </c>
      <c r="D79" s="7" t="inlineStr">
        <is>
          <t>Item.Name_10001001</t>
        </is>
      </c>
      <c r="E79" s="7" t="inlineStr">
        <is>
          <t>维持军队和人口的基本资源</t>
        </is>
      </c>
      <c r="F79" s="7" t="inlineStr">
        <is>
          <t>Item.Desc_10001001</t>
        </is>
      </c>
      <c t="str" r="G79" s="7">
        <f>IF(B79="","",INT(B79/1000000))</f>
        <v>10</v>
      </c>
      <c r="H79" s="7" t="n">
        <v>0</v>
      </c>
      <c t="str" r="I79" s="7">
        <f>IF(B79="","",MOD(INT(B79/1000),10))</f>
        <v>1</v>
      </c>
      <c r="J79" s="7" t="b">
        <v>0</v>
      </c>
      <c r="K79" s="7" t="n"/>
      <c r="L79" s="7" t="n"/>
      <c r="M79" s="7" t="n"/>
      <c t="str" r="N79" s="7">
        <f>IF(B79="","","Assets/Game/Textures/Icon/Item/icon_item_"&amp;B79&amp;".png")</f>
        <v>Assets/Game/Textures/Icon/Item/icon_item_10001001.png</v>
      </c>
    </row>
    <row r="80">
      <c r="A80" s="7" t="n"/>
      <c r="B80" s="7" t="n">
        <v>10001002</v>
      </c>
      <c r="C80" s="7" t="inlineStr">
        <is>
          <t>木材</t>
        </is>
      </c>
      <c r="D80" s="7" t="inlineStr">
        <is>
          <t>Item.Name_10001002</t>
        </is>
      </c>
      <c r="E80" s="7" t="inlineStr">
        <is>
          <t>建筑升级和器械制造的主要资源</t>
        </is>
      </c>
      <c r="F80" s="7" t="inlineStr">
        <is>
          <t>Item.Desc_10001002</t>
        </is>
      </c>
      <c t="str" r="G80" s="7">
        <f>IF(B80="","",INT(B80/1000000))</f>
        <v>10</v>
      </c>
      <c r="H80" s="7" t="n">
        <v>0</v>
      </c>
      <c t="str" r="I80" s="7">
        <f>IF(B80="","",MOD(INT(B80/1000),10))</f>
        <v>1</v>
      </c>
      <c r="J80" s="7" t="b">
        <v>0</v>
      </c>
      <c r="K80" s="7" t="n"/>
      <c r="L80" s="7" t="n"/>
      <c r="M80" s="7" t="n"/>
      <c t="str" r="N80" s="7">
        <f>IF(B80="","","Assets/Game/Textures/Icon/Item/icon_item_"&amp;B80&amp;".png")</f>
        <v>Assets/Game/Textures/Icon/Item/icon_item_10001002.png</v>
      </c>
    </row>
    <row r="81">
      <c r="A81" s="7" t="n"/>
      <c r="B81" s="7" t="n">
        <v>10001003</v>
      </c>
      <c r="C81" s="7" t="inlineStr">
        <is>
          <t>石头</t>
        </is>
      </c>
      <c r="D81" s="7" t="inlineStr">
        <is>
          <t>Item.Name_10001003</t>
        </is>
      </c>
      <c r="E81" s="7" t="inlineStr">
        <is>
          <t>城墙加固和高级建筑的必备资源</t>
        </is>
      </c>
      <c r="F81" s="7" t="inlineStr">
        <is>
          <t>Item.Desc_10001003</t>
        </is>
      </c>
      <c t="str" r="G81" s="7">
        <f>IF(B81="","",INT(B81/1000000))</f>
        <v>10</v>
      </c>
      <c r="H81" s="7" t="n">
        <v>0</v>
      </c>
      <c t="str" r="I81" s="7">
        <f>IF(B81="","",MOD(INT(B81/1000),10))</f>
        <v>1</v>
      </c>
      <c r="J81" s="7" t="b">
        <v>0</v>
      </c>
      <c r="K81" s="7" t="n"/>
      <c r="L81" s="7" t="n"/>
      <c r="M81" s="7" t="n"/>
      <c t="str" r="N81" s="7">
        <f>IF(B81="","","Assets/Game/Textures/Icon/Item/icon_item_"&amp;B81&amp;".png")</f>
        <v>Assets/Game/Textures/Icon/Item/icon_item_10001003.png</v>
      </c>
    </row>
    <row r="82">
      <c r="A82" s="7" t="n"/>
      <c r="B82" s="7" t="n">
        <v>10001004</v>
      </c>
      <c r="C82" s="7" t="inlineStr">
        <is>
          <t>铁矿</t>
        </is>
      </c>
      <c r="D82" s="7" t="inlineStr">
        <is>
          <t>Item.Name_10001004</t>
        </is>
      </c>
      <c r="E82" s="7" t="inlineStr">
        <is>
          <t>兵器打造和重型装备的核心资源</t>
        </is>
      </c>
      <c r="F82" s="7" t="inlineStr">
        <is>
          <t>Item.Desc_10001004</t>
        </is>
      </c>
      <c t="str" r="G82" s="7">
        <f>IF(B82="","",INT(B82/1000000))</f>
        <v>10</v>
      </c>
      <c r="H82" s="7" t="n">
        <v>0</v>
      </c>
      <c t="str" r="I82" s="7">
        <f>IF(B82="","",MOD(INT(B82/1000),10))</f>
        <v>1</v>
      </c>
      <c r="J82" s="7" t="b">
        <v>0</v>
      </c>
      <c r="K82" s="7" t="n"/>
      <c r="L82" s="7" t="n"/>
      <c r="M82" s="7" t="n"/>
      <c t="str" r="N82" s="7">
        <f>IF(B82="","","Assets/Game/Textures/Icon/Item/icon_item_"&amp;B82&amp;".png")</f>
        <v>Assets/Game/Textures/Icon/Item/icon_item_10001004.png</v>
      </c>
    </row>
    <row r="84">
      <c r="A84" s="7" t="inlineStr">
        <is>
          <t># 装备 (Equipment Items)</t>
        </is>
      </c>
    </row>
    <row r="85">
      <c r="A85" s="7" t="n"/>
      <c r="B85" s="7" t="n">
        <v>3001001</v>
      </c>
      <c r="C85" s="7" t="inlineStr">
        <is>
          <t>武器</t>
        </is>
      </c>
      <c r="D85" s="7" t="inlineStr">
        <is>
          <t>Item.Name_3001001</t>
        </is>
      </c>
      <c r="E85" s="7" t="inlineStr">
        <is>
          <t>提升将领和士兵攻击力</t>
        </is>
      </c>
      <c r="F85" s="7" t="inlineStr">
        <is>
          <t>Item.Desc_3001001</t>
        </is>
      </c>
      <c t="str" r="G85" s="7">
        <f>IF(B85="","",INT(B85/1000000))</f>
        <v>3</v>
      </c>
      <c r="H85" s="7" t="n">
        <v>0</v>
      </c>
      <c t="str" r="I85" s="7">
        <f>IF(B85="","",MOD(INT(B85/1000),10))</f>
        <v>1</v>
      </c>
      <c r="J85" s="7" t="b">
        <v>0</v>
      </c>
      <c r="K85" s="7" t="n"/>
      <c r="L85" s="7" t="n"/>
      <c r="M85" s="7" t="n"/>
      <c t="str" r="N85" s="7">
        <f>IF(B85="","","Assets/Game/Textures/Icon/Item/icon_item_"&amp;B85&amp;".png")</f>
        <v>Assets/Game/Textures/Icon/Item/icon_item_3001001.png</v>
      </c>
    </row>
    <row r="86">
      <c r="A86" s="7" t="n"/>
      <c r="B86" s="7" t="n">
        <v>3001002</v>
      </c>
      <c r="C86" s="7" t="inlineStr">
        <is>
          <t>防具</t>
        </is>
      </c>
      <c r="D86" s="7" t="inlineStr">
        <is>
          <t>Item.Name_3001002</t>
        </is>
      </c>
      <c r="E86" s="7" t="inlineStr">
        <is>
          <t>提升将领和士兵防御力</t>
        </is>
      </c>
      <c r="F86" s="7" t="inlineStr">
        <is>
          <t>Item.Desc_3001002</t>
        </is>
      </c>
      <c t="str" r="G86" s="7">
        <f>IF(B86="","",INT(B86/1000000))</f>
        <v>3</v>
      </c>
      <c r="H86" s="7" t="n">
        <v>0</v>
      </c>
      <c t="str" r="I86" s="7">
        <f>IF(B86="","",MOD(INT(B86/1000),10))</f>
        <v>1</v>
      </c>
      <c r="J86" s="7" t="b">
        <v>0</v>
      </c>
      <c r="K86" s="7" t="n"/>
      <c r="L86" s="7" t="n"/>
      <c r="M86" s="7" t="n"/>
      <c t="str" r="N86" s="7">
        <f>IF(B86="","","Assets/Game/Textures/Icon/Item/icon_item_"&amp;B86&amp;".png")</f>
        <v>Assets/Game/Textures/Icon/Item/icon_item_3001002.png</v>
      </c>
    </row>
    <row r="87">
      <c r="A87" s="7" t="n"/>
      <c r="B87" s="7" t="n">
        <v>3001003</v>
      </c>
      <c r="C87" s="7" t="inlineStr">
        <is>
          <t>配饰</t>
        </is>
      </c>
      <c r="D87" s="7" t="inlineStr">
        <is>
          <t>Item.Name_3001003</t>
        </is>
      </c>
      <c r="E87" s="7" t="inlineStr">
        <is>
          <t>提升将领附加属性</t>
        </is>
      </c>
      <c r="F87" s="7" t="inlineStr">
        <is>
          <t>Item.Desc_3001003</t>
        </is>
      </c>
      <c t="str" r="G87" s="7">
        <f>IF(B87="","",INT(B87/1000000))</f>
        <v>3</v>
      </c>
      <c r="H87" s="7" t="n">
        <v>0</v>
      </c>
      <c t="str" r="I87" s="7">
        <f>IF(B87="","",MOD(INT(B87/1000),10))</f>
        <v>1</v>
      </c>
      <c r="J87" s="7" t="b">
        <v>0</v>
      </c>
      <c r="K87" s="7" t="n"/>
      <c r="L87" s="7" t="n"/>
      <c r="M87" s="7" t="n"/>
      <c t="str" r="N87" s="7">
        <f>IF(B87="","","Assets/Game/Textures/Icon/Item/icon_item_"&amp;B87&amp;".png")</f>
        <v>Assets/Game/Textures/Icon/Item/icon_item_3001003.png</v>
      </c>
    </row>
    <row r="89">
      <c r="A89" s="7" t="inlineStr">
        <is>
          <t># 士兵 (Soldier Items)</t>
        </is>
      </c>
    </row>
    <row r="90">
      <c r="A90" s="7" t="n"/>
      <c r="B90" s="7" t="n">
        <v>11001001</v>
      </c>
      <c r="C90" s="7" t="inlineStr">
        <is>
          <t>刀盾兵</t>
        </is>
      </c>
      <c r="D90" s="7" t="inlineStr">
        <is>
          <t>Item.Name_11001001</t>
        </is>
      </c>
      <c r="E90" s="7" t="inlineStr">
        <is>
          <t>基础步兵，防御较好</t>
        </is>
      </c>
      <c r="F90" s="7" t="inlineStr">
        <is>
          <t>Item.Desc_11001001</t>
        </is>
      </c>
      <c t="str" r="G90" s="7">
        <f>IF(B90="","",INT(B90/1000000))</f>
        <v>11</v>
      </c>
      <c r="H90" s="7" t="n">
        <v>0</v>
      </c>
      <c t="str" r="I90" s="7">
        <f>IF(B90="","",MOD(INT(B90/1000),10))</f>
        <v>1</v>
      </c>
      <c r="J90" s="7" t="b">
        <v>0</v>
      </c>
      <c r="K90" s="7" t="n"/>
      <c r="L90" s="7" t="n"/>
      <c r="M90" s="7" t="n"/>
      <c t="str" r="N90" s="7">
        <f>IF(B90="","","Assets/Game/Textures/Icon/Item/icon_item_"&amp;B90&amp;".png")</f>
        <v>Assets/Game/Textures/Icon/Item/icon_item_11001001.png</v>
      </c>
    </row>
    <row r="91">
      <c r="A91" s="7" t="n"/>
      <c r="B91" s="7" t="n">
        <v>11001002</v>
      </c>
      <c r="C91" s="7" t="inlineStr">
        <is>
          <t>长枪兵</t>
        </is>
      </c>
      <c r="D91" s="7" t="inlineStr">
        <is>
          <t>Item.Name_11001002</t>
        </is>
      </c>
      <c r="E91" s="7" t="inlineStr">
        <is>
          <t>克制骑兵，擅长防守反击</t>
        </is>
      </c>
      <c r="F91" s="7" t="inlineStr">
        <is>
          <t>Item.Desc_11001002</t>
        </is>
      </c>
      <c t="str" r="G91" s="7">
        <f>IF(B91="","",INT(B91/1000000))</f>
        <v>11</v>
      </c>
      <c r="H91" s="7" t="n">
        <v>0</v>
      </c>
      <c t="str" r="I91" s="7">
        <f>IF(B91="","",MOD(INT(B91/1000),10))</f>
        <v>1</v>
      </c>
      <c r="J91" s="7" t="b">
        <v>0</v>
      </c>
      <c r="K91" s="7" t="n"/>
      <c r="L91" s="7" t="n"/>
      <c r="M91" s="7" t="n"/>
      <c t="str" r="N91" s="7">
        <f>IF(B91="","","Assets/Game/Textures/Icon/Item/icon_item_"&amp;B91&amp;".png")</f>
        <v>Assets/Game/Textures/Icon/Item/icon_item_11001002.png</v>
      </c>
    </row>
    <row r="92">
      <c r="A92" s="7" t="n"/>
      <c r="B92" s="7" t="n">
        <v>11001003</v>
      </c>
      <c r="C92" s="7" t="inlineStr">
        <is>
          <t>弓箭手</t>
        </is>
      </c>
      <c r="D92" s="7" t="inlineStr">
        <is>
          <t>Item.Name_11001003</t>
        </is>
      </c>
      <c r="E92" s="7" t="inlineStr">
        <is>
          <t>远程输出，伤害高但脆弱</t>
        </is>
      </c>
      <c r="F92" s="7" t="inlineStr">
        <is>
          <t>Item.Desc_11001003</t>
        </is>
      </c>
      <c t="str" r="G92" s="7">
        <f>IF(B92="","",INT(B92/1000000))</f>
        <v>11</v>
      </c>
      <c r="H92" s="7" t="n">
        <v>0</v>
      </c>
      <c t="str" r="I92" s="7">
        <f>IF(B92="","",MOD(INT(B92/1000),10))</f>
        <v>1</v>
      </c>
      <c r="J92" s="7" t="b">
        <v>0</v>
      </c>
      <c r="K92" s="7" t="n"/>
      <c r="L92" s="7" t="n"/>
      <c r="M92" s="7" t="n"/>
      <c t="str" r="N92" s="7">
        <f>IF(B92="","","Assets/Game/Textures/Icon/Item/icon_item_"&amp;B92&amp;".png")</f>
        <v>Assets/Game/Textures/Icon/Item/icon_item_11001003.png</v>
      </c>
    </row>
    <row r="93">
      <c r="A93" s="7" t="n"/>
      <c r="B93" s="7" t="n">
        <v>11001004</v>
      </c>
      <c r="C93" s="7" t="inlineStr">
        <is>
          <t>弩手</t>
        </is>
      </c>
      <c r="D93" s="7" t="inlineStr">
        <is>
          <t>Item.Name_11001004</t>
        </is>
      </c>
      <c r="E93" s="7" t="inlineStr">
        <is>
          <t>高破甲，伤害稳定</t>
        </is>
      </c>
      <c r="F93" s="7" t="inlineStr">
        <is>
          <t>Item.Desc_11001004</t>
        </is>
      </c>
      <c t="str" r="G93" s="7">
        <f>IF(B93="","",INT(B93/1000000))</f>
        <v>11</v>
      </c>
      <c r="H93" s="7" t="n">
        <v>0</v>
      </c>
      <c t="str" r="I93" s="7">
        <f>IF(B93="","",MOD(INT(B93/1000),10))</f>
        <v>1</v>
      </c>
      <c r="J93" s="7" t="b">
        <v>0</v>
      </c>
      <c r="K93" s="7" t="n"/>
      <c r="L93" s="7" t="n"/>
      <c r="M93" s="7" t="n"/>
      <c t="str" r="N93" s="7">
        <f>IF(B93="","","Assets/Game/Textures/Icon/Item/icon_item_"&amp;B93&amp;".png")</f>
        <v>Assets/Game/Textures/Icon/Item/icon_item_11001004.png</v>
      </c>
    </row>
    <row r="94">
      <c r="A94" s="7" t="n"/>
      <c r="B94" s="7" t="n">
        <v>11001005</v>
      </c>
      <c r="C94" s="7" t="inlineStr">
        <is>
          <t>轻骑兵</t>
        </is>
      </c>
      <c r="D94" s="7" t="inlineStr">
        <is>
          <t>Item.Name_11001005</t>
        </is>
      </c>
      <c r="E94" s="7" t="inlineStr">
        <is>
          <t>快速机动，擅长突袭</t>
        </is>
      </c>
      <c r="F94" s="7" t="inlineStr">
        <is>
          <t>Item.Desc_11001005</t>
        </is>
      </c>
      <c t="str" r="G94" s="7">
        <f>IF(B94="","",INT(B94/1000000))</f>
        <v>11</v>
      </c>
      <c r="H94" s="7" t="n">
        <v>0</v>
      </c>
      <c t="str" r="I94" s="7">
        <f>IF(B94="","",MOD(INT(B94/1000),10))</f>
        <v>1</v>
      </c>
      <c r="J94" s="7" t="b">
        <v>0</v>
      </c>
      <c r="K94" s="7" t="n"/>
      <c r="L94" s="7" t="n"/>
      <c r="M94" s="7" t="n"/>
      <c t="str" r="N94" s="7">
        <f>IF(B94="","","Assets/Game/Textures/Icon/Item/icon_item_"&amp;B94&amp;".png")</f>
        <v>Assets/Game/Textures/Icon/Item/icon_item_11001005.png</v>
      </c>
    </row>
    <row r="95">
      <c r="A95" s="7" t="n"/>
      <c r="B95" s="7" t="n">
        <v>11001006</v>
      </c>
      <c r="C95" s="7" t="inlineStr">
        <is>
          <t>重骑兵</t>
        </is>
      </c>
      <c r="D95" s="7" t="inlineStr">
        <is>
          <t>Item.Name_11001006</t>
        </is>
      </c>
      <c r="E95" s="7" t="inlineStr">
        <is>
          <t>冲击力强，重装突入敌阵</t>
        </is>
      </c>
      <c r="F95" s="7" t="inlineStr">
        <is>
          <t>Item.Desc_11001006</t>
        </is>
      </c>
      <c t="str" r="G95" s="7">
        <f>IF(B95="","",INT(B95/1000000))</f>
        <v>11</v>
      </c>
      <c r="H95" s="7" t="n">
        <v>0</v>
      </c>
      <c t="str" r="I95" s="7">
        <f>IF(B95="","",MOD(INT(B95/1000),10))</f>
        <v>1</v>
      </c>
      <c r="J95" s="7" t="b">
        <v>0</v>
      </c>
      <c r="K95" s="7" t="n"/>
      <c r="L95" s="7" t="n"/>
      <c r="M95" s="7" t="n"/>
      <c t="str" r="N95" s="7">
        <f>IF(B95="","","Assets/Game/Textures/Icon/Item/icon_item_"&amp;B95&amp;".png")</f>
        <v>Assets/Game/Textures/Icon/Item/icon_item_11001006.png</v>
      </c>
    </row>
    <row r="96">
      <c r="A96" s="7" t="n"/>
      <c r="B96" s="7" t="n">
        <v>11001007</v>
      </c>
      <c r="C96" s="7" t="inlineStr">
        <is>
          <t>神臂弓手</t>
        </is>
      </c>
      <c r="D96" s="7" t="inlineStr">
        <is>
          <t>Item.Name_11001007</t>
        </is>
      </c>
      <c r="E96" s="7" t="inlineStr">
        <is>
          <t>超远射程的精锐射手</t>
        </is>
      </c>
      <c r="F96" s="7" t="inlineStr">
        <is>
          <t>Item.Desc_11001007</t>
        </is>
      </c>
      <c t="str" r="G96" s="7">
        <f>IF(B96="","",INT(B96/1000000))</f>
        <v>11</v>
      </c>
      <c r="H96" s="7" t="n">
        <v>0</v>
      </c>
      <c t="str" r="I96" s="7">
        <f>IF(B96="","",MOD(INT(B96/1000),10))</f>
        <v>1</v>
      </c>
      <c r="J96" s="7" t="b">
        <v>0</v>
      </c>
      <c r="K96" s="7" t="n"/>
      <c r="L96" s="7" t="n"/>
      <c r="M96" s="7" t="n"/>
      <c t="str" r="N96" s="7">
        <f>IF(B96="","","Assets/Game/Textures/Icon/Item/icon_item_"&amp;B96&amp;".png")</f>
        <v>Assets/Game/Textures/Icon/Item/icon_item_11001007.png</v>
      </c>
    </row>
    <row r="97">
      <c r="A97" s="7" t="n"/>
      <c r="B97" s="7" t="n">
        <v>11001008</v>
      </c>
      <c r="C97" s="7" t="inlineStr">
        <is>
          <t>陌刀队</t>
        </is>
      </c>
      <c r="D97" s="7" t="inlineStr">
        <is>
          <t>Item.Name_11001008</t>
        </is>
      </c>
      <c r="E97" s="7" t="inlineStr">
        <is>
          <t>重装步兵，步兵巅峰战力</t>
        </is>
      </c>
      <c r="F97" s="7" t="inlineStr">
        <is>
          <t>Item.Desc_11001008</t>
        </is>
      </c>
      <c t="str" r="G97" s="7">
        <f>IF(B97="","",INT(B97/1000000))</f>
        <v>11</v>
      </c>
      <c r="H97" s="7" t="n">
        <v>0</v>
      </c>
      <c t="str" r="I97" s="7">
        <f>IF(B97="","",MOD(INT(B97/1000),10))</f>
        <v>1</v>
      </c>
      <c r="J97" s="7" t="b">
        <v>0</v>
      </c>
      <c r="K97" s="7" t="n"/>
      <c r="L97" s="7" t="n"/>
      <c r="M97" s="7" t="n"/>
      <c t="str" r="N97" s="7">
        <f>IF(B97="","","Assets/Game/Textures/Icon/Item/icon_item_"&amp;B97&amp;".png")</f>
        <v>Assets/Game/Textures/Icon/Item/icon_item_11001008.png</v>
      </c>
    </row>
    <row r="99">
      <c r="A99" s="7" t="inlineStr">
        <is>
          <t># 器械 (Machine Items)</t>
        </is>
      </c>
    </row>
    <row r="100">
      <c r="A100" s="7" t="n"/>
      <c r="B100" s="7" t="n">
        <v>12001001</v>
      </c>
      <c r="C100" s="7" t="inlineStr">
        <is>
          <t>投石机</t>
        </is>
      </c>
      <c r="D100" s="7" t="inlineStr">
        <is>
          <t>Item.Name_12001001</t>
        </is>
      </c>
      <c r="E100" s="7" t="inlineStr">
        <is>
          <t>远程破坏，攻城利器</t>
        </is>
      </c>
      <c r="F100" s="7" t="inlineStr">
        <is>
          <t>Item.Desc_12001001</t>
        </is>
      </c>
      <c t="str" r="G100" s="7">
        <f>IF(B100="","",INT(B100/1000000))</f>
        <v>12</v>
      </c>
      <c r="H100" s="7" t="n">
        <v>0</v>
      </c>
      <c t="str" r="I100" s="7">
        <f>IF(B100="","",MOD(INT(B100/1000),10))</f>
        <v>1</v>
      </c>
      <c r="J100" s="7" t="b">
        <v>0</v>
      </c>
      <c r="K100" s="7" t="n"/>
      <c r="L100" s="7" t="n"/>
      <c r="M100" s="7" t="n"/>
      <c t="str" r="N100" s="7">
        <f>IF(B100="","","Assets/Game/Textures/Icon/Item/icon_item_"&amp;B100&amp;".png")</f>
        <v>Assets/Game/Textures/Icon/Item/icon_item_12001001.png</v>
      </c>
    </row>
    <row r="101">
      <c r="A101" s="7" t="n"/>
      <c r="B101" s="7" t="n">
        <v>12001002</v>
      </c>
      <c r="C101" s="7" t="inlineStr">
        <is>
          <t>冲车</t>
        </is>
      </c>
      <c r="D101" s="7" t="inlineStr">
        <is>
          <t>Item.Name_12001002</t>
        </is>
      </c>
      <c r="E101" s="7" t="inlineStr">
        <is>
          <t>专门用来攻击城门</t>
        </is>
      </c>
      <c r="F101" s="7" t="inlineStr">
        <is>
          <t>Item.Desc_12001002</t>
        </is>
      </c>
      <c t="str" r="G101" s="7">
        <f>IF(B101="","",INT(B101/1000000))</f>
        <v>12</v>
      </c>
      <c r="H101" s="7" t="n">
        <v>0</v>
      </c>
      <c t="str" r="I101" s="7">
        <f>IF(B101="","",MOD(INT(B101/1000),10))</f>
        <v>1</v>
      </c>
      <c r="J101" s="7" t="b">
        <v>0</v>
      </c>
      <c r="K101" s="7" t="n"/>
      <c r="L101" s="7" t="n"/>
      <c r="M101" s="7" t="n"/>
      <c t="str" r="N101" s="7">
        <f>IF(B101="","","Assets/Game/Textures/Icon/Item/icon_item_"&amp;B101&amp;".png")</f>
        <v>Assets/Game/Textures/Icon/Item/icon_item_12001002.png</v>
      </c>
    </row>
    <row r="102">
      <c r="A102" s="7" t="n"/>
      <c r="B102" s="7" t="n">
        <v>12001003</v>
      </c>
      <c r="C102" s="7" t="inlineStr">
        <is>
          <t>云梯</t>
        </is>
      </c>
      <c r="D102" s="7" t="inlineStr">
        <is>
          <t>Item.Name_12001003</t>
        </is>
      </c>
      <c r="E102" s="7" t="inlineStr">
        <is>
          <t>快速登城，辅助步兵攻城</t>
        </is>
      </c>
      <c r="F102" s="7" t="inlineStr">
        <is>
          <t>Item.Desc_12001003</t>
        </is>
      </c>
      <c t="str" r="G102" s="7">
        <f>IF(B102="","",INT(B102/1000000))</f>
        <v>12</v>
      </c>
      <c r="H102" s="7" t="n">
        <v>0</v>
      </c>
      <c t="str" r="I102" s="7">
        <f>IF(B102="","",MOD(INT(B102/1000),10))</f>
        <v>1</v>
      </c>
      <c r="J102" s="7" t="b">
        <v>0</v>
      </c>
      <c r="K102" s="7" t="n"/>
      <c r="L102" s="7" t="n"/>
      <c r="M102" s="7" t="n"/>
      <c t="str" r="N102" s="7">
        <f>IF(B102="","","Assets/Game/Textures/Icon/Item/icon_item_"&amp;B102&amp;".png")</f>
        <v>Assets/Game/Textures/Icon/Item/icon_item_12001003.png</v>
      </c>
    </row>
    <row r="103">
      <c r="A103" s="7" t="n"/>
      <c r="B103" s="7" t="n">
        <v>12001004</v>
      </c>
      <c r="C103" s="7" t="inlineStr">
        <is>
          <t>床弩</t>
        </is>
      </c>
      <c r="D103" s="7" t="inlineStr">
        <is>
          <t>Item.Name_12001004</t>
        </is>
      </c>
      <c r="E103" s="7" t="inlineStr">
        <is>
          <t>远程强力，防守和野战利器</t>
        </is>
      </c>
      <c r="F103" s="7" t="inlineStr">
        <is>
          <t>Item.Desc_12001004</t>
        </is>
      </c>
      <c t="str" r="G103" s="7">
        <f>IF(B103="","",INT(B103/1000000))</f>
        <v>12</v>
      </c>
      <c r="H103" s="7" t="n">
        <v>0</v>
      </c>
      <c t="str" r="I103" s="7">
        <f>IF(B103="","",MOD(INT(B103/1000),10))</f>
        <v>1</v>
      </c>
      <c r="J103" s="7" t="b">
        <v>0</v>
      </c>
      <c r="K103" s="7" t="n"/>
      <c r="L103" s="7" t="n"/>
      <c r="M103" s="7" t="n"/>
      <c t="str" r="N103" s="7">
        <f>IF(B103="","","Assets/Game/Textures/Icon/Item/icon_item_"&amp;B103&amp;".png")</f>
        <v>Assets/Game/Textures/Icon/Item/icon_item_12001004.png</v>
      </c>
    </row>
    <row r="104">
      <c r="A104" s="7" t="n"/>
      <c r="B104" s="7" t="n">
        <v>12001005</v>
      </c>
      <c r="C104" s="7" t="inlineStr">
        <is>
          <t>滚木礌石</t>
        </is>
      </c>
      <c r="D104" s="7" t="inlineStr">
        <is>
          <t>Item.Name_12001005</t>
        </is>
      </c>
      <c r="E104" s="7" t="inlineStr">
        <is>
          <t>防御消耗品，对城下敌军造成毁灭打击</t>
        </is>
      </c>
      <c r="F104" s="7" t="inlineStr">
        <is>
          <t>Item.Desc_12001005</t>
        </is>
      </c>
      <c t="str" r="G104" s="7">
        <f>IF(B104="","",INT(B104/1000000))</f>
        <v>12</v>
      </c>
      <c r="H104" s="7" t="n">
        <v>0</v>
      </c>
      <c t="str" r="I104" s="7">
        <f>IF(B104="","",MOD(INT(B104/1000),10))</f>
        <v>1</v>
      </c>
      <c r="J104" s="7" t="b">
        <v>0</v>
      </c>
      <c r="K104" s="7" t="n"/>
      <c r="L104" s="7" t="n"/>
      <c r="M104" s="7" t="n"/>
      <c t="str" r="N104" s="7">
        <f>IF(B104="","","Assets/Game/Textures/Icon/Item/icon_item_"&amp;B104&amp;".png")</f>
        <v>Assets/Game/Textures/Icon/Item/icon_item_12001005.png</v>
      </c>
    </row>
    <row r="105">
      <c r="A105" s="7" t="n"/>
      <c r="B105" s="7" t="n">
        <v>12001006</v>
      </c>
      <c r="C105" s="7" t="inlineStr">
        <is>
          <t>火油罐</t>
        </is>
      </c>
      <c r="D105" s="7" t="inlineStr">
        <is>
          <t>Item.Name_12001006</t>
        </is>
      </c>
      <c r="E105" s="7" t="inlineStr">
        <is>
          <t>燃烧攻击，造成持续范围伤害</t>
        </is>
      </c>
      <c r="F105" s="7" t="inlineStr">
        <is>
          <t>Item.Desc_12001006</t>
        </is>
      </c>
      <c t="str" r="G105" s="7">
        <f>IF(B105="","",INT(B105/1000000))</f>
        <v>12</v>
      </c>
      <c r="H105" s="7" t="n">
        <v>0</v>
      </c>
      <c t="str" r="I105" s="7">
        <f>IF(B105="","",MOD(INT(B105/1000),10))</f>
        <v>1</v>
      </c>
      <c r="J105" s="7" t="b">
        <v>0</v>
      </c>
      <c r="K105" s="7" t="n"/>
      <c r="L105" s="7" t="n"/>
      <c r="M105" s="7" t="n"/>
      <c t="str" r="N105" s="7">
        <f>IF(B105="","","Assets/Game/Textures/Icon/Item/icon_item_"&amp;B105&amp;".png")</f>
        <v>Assets/Game/Textures/Icon/Item/icon_item_12001006.png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2024-01-01T00:00:00Z</dcterms:created>
  <dcterms:modified xsi:type="dcterms:W3CDTF">2024-01-01T00:00:00Z</dcterms:modified>
</cp:coreProperties>
</file>