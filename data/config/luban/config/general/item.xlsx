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<sst xmlns="http://schemas.openxmlformats.org/spreadsheetml/2006/main" count="77" uniqueCount="72">
  <si>
    <t>##var</t>
  </si>
  <si>
    <t>item_template_id</t>
  </si>
  <si>
    <t>#name</t>
  </si>
  <si>
    <t>item_type</t>
  </si>
  <si>
    <t>stacked</t>
  </si>
  <si>
    <t>quality</t>
  </si>
  <si>
    <t>squares</t>
  </si>
  <si>
    <t>unlock_task_id</t>
  </si>
  <si>
    <t>parameter0</t>
  </si>
  <si>
    <t>parameter1</t>
  </si>
  <si>
    <t>##type</t>
  </si>
  <si>
    <t>int</t>
  </si>
  <si>
    <t>quality_type</t>
  </si>
  <si>
    <t>bool</t>
  </si>
  <si>
    <t>##</t>
  </si>
  <si>
    <t>物品编号</t>
  </si>
  <si>
    <t>物品名称</t>
  </si>
  <si>
    <t>物品类型</t>
  </si>
  <si>
    <t>堆叠数</t>
  </si>
  <si>
    <t>品质</t>
  </si>
  <si>
    <t>格子</t>
  </si>
  <si>
    <t>解锁条件id</t>
  </si>
  <si>
    <t>关联参数0</t>
  </si>
  <si>
    <t>关联参数1</t>
  </si>
  <si>
    <t>黄金</t>
  </si>
  <si>
    <t>白银</t>
  </si>
  <si>
    <t>铜钱</t>
  </si>
  <si>
    <t>改名卡</t>
  </si>
  <si>
    <t>粮食</t>
  </si>
  <si>
    <t>木材</t>
  </si>
  <si>
    <t>石头</t>
  </si>
  <si>
    <t>铁矿</t>
  </si>
  <si>
    <t>声望</t>
  </si>
  <si>
    <t>功勋</t>
  </si>
  <si>
    <t>默认头像</t>
  </si>
  <si>
    <t>头像-嬴政</t>
  </si>
  <si>
    <t>头像-刘彻</t>
  </si>
  <si>
    <t>头像-李世民</t>
  </si>
  <si>
    <t>头像-赵飞燕</t>
  </si>
  <si>
    <t>头像-蔡文姬</t>
  </si>
  <si>
    <t>头像-杨玉环</t>
  </si>
  <si>
    <t>头像-白起</t>
  </si>
  <si>
    <t>头像-张骞</t>
  </si>
  <si>
    <t>头像-房玄龄</t>
  </si>
  <si>
    <t>默认头像框</t>
  </si>
  <si>
    <t>头像框-白</t>
  </si>
  <si>
    <t>头像框-绿</t>
  </si>
  <si>
    <t>头像框-蓝</t>
  </si>
  <si>
    <t>头像框-紫</t>
  </si>
  <si>
    <t>头像框-橙</t>
  </si>
  <si>
    <t>头像框-红</t>
  </si>
  <si>
    <t>从戎校尉</t>
  </si>
  <si>
    <t>讨逆先锋</t>
  </si>
  <si>
    <t>百战悍将</t>
  </si>
  <si>
    <t>持节偏军</t>
  </si>
  <si>
    <t>威武都督</t>
  </si>
  <si>
    <t>镇国大将军</t>
  </si>
  <si>
    <t>名震寰宇</t>
  </si>
  <si>
    <t>兵圣传人</t>
  </si>
  <si>
    <t>开国元勋</t>
  </si>
  <si>
    <t>千古战神</t>
  </si>
  <si>
    <t>嬴政</t>
  </si>
  <si>
    <t>刘彻</t>
  </si>
  <si>
    <t>李世民</t>
  </si>
  <si>
    <t>赵飞燕</t>
  </si>
  <si>
    <t>蔡文姬</t>
  </si>
  <si>
    <t>杨玉环</t>
  </si>
  <si>
    <t>白起</t>
  </si>
  <si>
    <t>张骞</t>
  </si>
  <si>
    <t>房玄龄</t>
  </si>
  <si>
    <t>人物经验</t>
  </si>
  <si>
    <t>vip经验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</si>
</sst>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J64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16.5"/>
  <cols>
    <col min="1" max="1" width="32.8833333333333" style="2" customWidth="1"/>
    <col min="2" max="2" width="18.125" style="2" customWidth="1"/>
    <col min="3" max="3" width="29.75" style="2" customWidth="1"/>
    <col min="4" max="6" width="26" style="2" customWidth="1"/>
    <col min="7" max="7" width="40.375" style="2" customWidth="1"/>
    <col min="8" max="8" width="15" style="2" customWidth="1"/>
    <col min="9" max="10" width="12.25" style="2" customWidth="1"/>
    <col min="11" max="16384" width="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D2" s="1" t="s">
        <v>3</v>
      </c>
      <c r="E2" s="1" t="s">
        <v>11</v>
      </c>
      <c r="F2" s="1" t="s">
        <v>12</v>
      </c>
      <c r="G2" s="1" t="s">
        <v>13</v>
      </c>
      <c r="H2" s="1" t="s">
        <v>11</v>
      </c>
      <c r="I2" s="1" t="s">
        <v>11</v>
      </c>
      <c r="J2" s="1" t="s">
        <v>11</v>
      </c>
    </row>
    <row r="3" s="1" customFormat="1" ht="203.1" customHeight="1" spans="1:10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s="2" customFormat="1" spans="1:10">
      <c r="B4" s="2">
        <v>1001001</v>
      </c>
      <c r="C4" s="2" t="s">
        <v>24</v>
      </c>
      <c r="D4" s="2">
        <f t="shared" ref="D4:D13" si="0">IF(B4="","",INT(B4/1000000))</f>
        <v>1</v>
      </c>
      <c r="E4" s="2">
        <v>0</v>
      </c>
      <c r="F4" s="2">
        <f t="shared" ref="F4:F9" si="1">IF(B4="","",MOD(INT(B4/1000),10))</f>
        <v>1</v>
      </c>
      <c r="G4" s="2" t="b">
        <v>0</v>
      </c>
    </row>
    <row r="5" spans="1:10">
      <c r="B5" s="2">
        <v>1001002</v>
      </c>
      <c r="C5" s="2" t="s">
        <v>25</v>
      </c>
      <c r="D5" s="2">
        <f t="shared" si="0"/>
        <v>1</v>
      </c>
      <c r="E5" s="2">
        <v>0</v>
      </c>
      <c r="F5" s="2">
        <f t="shared" si="1"/>
        <v>1</v>
      </c>
      <c r="G5" s="2" t="b">
        <v>0</v>
      </c>
    </row>
    <row r="6" spans="1:10">
      <c r="B6" s="2">
        <v>1001003</v>
      </c>
      <c r="C6" s="2" t="s">
        <v>26</v>
      </c>
      <c r="D6" s="2">
        <f t="shared" si="0"/>
        <v>1</v>
      </c>
      <c r="E6" s="2">
        <v>0</v>
      </c>
      <c r="F6" s="2">
        <f t="shared" si="1"/>
        <v>1</v>
      </c>
      <c r="G6" s="2" t="b">
        <v>0</v>
      </c>
    </row>
    <row r="7" spans="1:10">
      <c r="D7" s="2" t="str">
        <f t="shared" si="0"/>
        <v/>
      </c>
      <c r="F7" s="2" t="str">
        <f t="shared" si="1"/>
        <v/>
      </c>
    </row>
    <row r="8" spans="1:10">
      <c r="B8" s="2">
        <v>1011001</v>
      </c>
      <c r="C8" s="2" t="s">
        <v>27</v>
      </c>
      <c r="D8" s="2">
        <f t="shared" si="0"/>
        <v>1</v>
      </c>
      <c r="E8" s="2">
        <v>0</v>
      </c>
      <c r="F8" s="2">
        <f t="shared" si="1"/>
        <v>1</v>
      </c>
      <c r="G8" s="2" t="b">
        <v>0</v>
      </c>
    </row>
    <row r="9" spans="1:10">
      <c r="D9" s="2" t="str">
        <f t="shared" si="0"/>
        <v/>
      </c>
      <c r="F9" s="2" t="str">
        <f t="shared" si="1"/>
        <v/>
      </c>
    </row>
    <row r="10" spans="1:10">
      <c r="B10" s="2">
        <v>1021001</v>
      </c>
      <c r="C10" s="2" t="s">
        <v>28</v>
      </c>
      <c r="D10" s="2">
        <f t="shared" si="0"/>
        <v>1</v>
      </c>
      <c r="E10" s="2">
        <v>0</v>
      </c>
      <c r="F10" s="2">
        <v>1</v>
      </c>
      <c r="G10" s="2" t="b">
        <v>0</v>
      </c>
    </row>
    <row r="11" spans="1:10">
      <c r="B11" s="2">
        <v>1021002</v>
      </c>
      <c r="C11" s="2" t="s">
        <v>29</v>
      </c>
      <c r="D11" s="2">
        <f t="shared" si="0"/>
        <v>1</v>
      </c>
      <c r="E11" s="2">
        <v>0</v>
      </c>
      <c r="F11" s="2">
        <v>1</v>
      </c>
      <c r="G11" s="2" t="b">
        <v>0</v>
      </c>
    </row>
    <row r="12" spans="1:10">
      <c r="B12" s="2">
        <v>1021003</v>
      </c>
      <c r="C12" s="2" t="s">
        <v>30</v>
      </c>
      <c r="D12" s="2">
        <f t="shared" si="0"/>
        <v>1</v>
      </c>
      <c r="E12" s="2">
        <v>0</v>
      </c>
      <c r="F12" s="2">
        <v>1</v>
      </c>
      <c r="G12" s="2" t="b">
        <v>0</v>
      </c>
    </row>
    <row r="13" spans="1:10">
      <c r="B13" s="2">
        <v>1021004</v>
      </c>
      <c r="C13" s="2" t="s">
        <v>31</v>
      </c>
      <c r="D13" s="2">
        <f t="shared" si="0"/>
        <v>1</v>
      </c>
      <c r="E13" s="2">
        <v>0</v>
      </c>
      <c r="F13" s="2">
        <v>1</v>
      </c>
      <c r="G13" s="2" t="b">
        <v>0</v>
      </c>
    </row>
    <row r="15" spans="1:10">
      <c r="B15" s="2">
        <v>1031001</v>
      </c>
      <c r="C15" s="2" t="s">
        <v>32</v>
      </c>
      <c r="D15" s="2">
        <v>1</v>
      </c>
      <c r="E15" s="2">
        <v>0</v>
      </c>
      <c r="F15" s="2">
        <v>1</v>
      </c>
      <c r="G15" s="2" t="b">
        <v>0</v>
      </c>
    </row>
    <row r="16" spans="1:10">
      <c r="B16" s="2">
        <v>1031002</v>
      </c>
      <c r="C16" s="2" t="s">
        <v>33</v>
      </c>
      <c r="D16" s="2">
        <v>1</v>
      </c>
      <c r="E16" s="2">
        <v>0</v>
      </c>
      <c r="F16" s="2">
        <v>1</v>
      </c>
      <c r="G16" s="2" t="b">
        <v>0</v>
      </c>
    </row>
    <row r="18" spans="2:8">
      <c r="B18" s="2">
        <v>4011001</v>
      </c>
      <c r="C18" s="2" t="s">
        <v>34</v>
      </c>
      <c r="D18" s="2">
        <f>IF(B18="","",INT(B18/1000000))</f>
        <v>4</v>
      </c>
      <c r="E18" s="2">
        <v>0</v>
      </c>
      <c r="F18" s="2">
        <f t="shared" ref="F18:F32" si="2">IF(B18="","",MOD(INT(B18/1000),10))</f>
        <v>1</v>
      </c>
      <c r="G18" s="2" t="b">
        <v>0</v>
      </c>
    </row>
    <row r="19" customFormat="1" spans="2:8">
      <c r="B19" s="2"/>
      <c r="C19" s="2"/>
      <c r="D19" s="2"/>
      <c r="E19" s="2"/>
      <c r="F19" s="2" t="str">
        <f t="shared" si="2"/>
        <v/>
      </c>
      <c r="G19" s="2"/>
      <c r="H19" s="2"/>
    </row>
    <row r="20" s="2" customFormat="1" spans="2:8">
      <c r="B20" s="2">
        <v>4024001</v>
      </c>
      <c r="C20" s="2" t="s">
        <v>35</v>
      </c>
      <c r="D20" s="2">
        <f>IF(B20="","",INT(B20/1000000))</f>
        <v>4</v>
      </c>
      <c r="E20" s="2">
        <v>0</v>
      </c>
      <c r="F20" s="2">
        <f t="shared" si="2"/>
        <v>4</v>
      </c>
      <c r="G20" s="2" t="b">
        <v>0</v>
      </c>
      <c r="H20" s="2">
        <v>300324001</v>
      </c>
    </row>
    <row r="21" s="2" customFormat="1" spans="2:8">
      <c r="B21" s="2">
        <v>4024002</v>
      </c>
      <c r="C21" s="2" t="s">
        <v>36</v>
      </c>
      <c r="D21" s="2">
        <f t="shared" ref="D20:D30" si="3">IF(B21="","",INT(B21/1000000))</f>
        <v>4</v>
      </c>
      <c r="E21" s="2">
        <v>0</v>
      </c>
      <c r="F21" s="2">
        <f t="shared" si="2"/>
        <v>4</v>
      </c>
      <c r="G21" s="2" t="b">
        <v>0</v>
      </c>
      <c r="H21" s="2">
        <v>300324002</v>
      </c>
    </row>
    <row r="22" s="2" customFormat="1" spans="2:8">
      <c r="B22" s="2">
        <v>4024003</v>
      </c>
      <c r="C22" s="2" t="s">
        <v>37</v>
      </c>
      <c r="D22" s="2">
        <f t="shared" si="3"/>
        <v>4</v>
      </c>
      <c r="E22" s="2">
        <v>0</v>
      </c>
      <c r="F22" s="2">
        <f t="shared" si="2"/>
        <v>4</v>
      </c>
      <c r="G22" s="2" t="b">
        <v>0</v>
      </c>
      <c r="H22" s="2">
        <v>300324003</v>
      </c>
    </row>
    <row r="23" s="2" customFormat="1" spans="2:8">
      <c r="F23" s="2" t="str">
        <f t="shared" si="2"/>
        <v/>
      </c>
    </row>
    <row r="24" s="2" customFormat="1" spans="2:8">
      <c r="B24" s="2">
        <v>4034001</v>
      </c>
      <c r="C24" s="2" t="s">
        <v>38</v>
      </c>
      <c r="D24" s="2">
        <f t="shared" si="3"/>
        <v>4</v>
      </c>
      <c r="E24" s="2">
        <v>0</v>
      </c>
      <c r="F24" s="2">
        <f t="shared" si="2"/>
        <v>4</v>
      </c>
      <c r="G24" s="2" t="b">
        <v>0</v>
      </c>
      <c r="H24" s="2">
        <v>300334001</v>
      </c>
    </row>
    <row r="25" s="2" customFormat="1" spans="2:8">
      <c r="B25" s="2">
        <v>4034002</v>
      </c>
      <c r="C25" s="2" t="s">
        <v>39</v>
      </c>
      <c r="D25" s="2">
        <f t="shared" si="3"/>
        <v>4</v>
      </c>
      <c r="E25" s="2">
        <v>0</v>
      </c>
      <c r="F25" s="2">
        <f t="shared" si="2"/>
        <v>4</v>
      </c>
      <c r="G25" s="2" t="b">
        <v>0</v>
      </c>
      <c r="H25" s="2">
        <v>300334002</v>
      </c>
    </row>
    <row r="26" spans="2:8">
      <c r="B26" s="2">
        <v>4034003</v>
      </c>
      <c r="C26" s="2" t="s">
        <v>40</v>
      </c>
      <c r="D26" s="2">
        <f t="shared" si="3"/>
        <v>4</v>
      </c>
      <c r="E26" s="2">
        <v>0</v>
      </c>
      <c r="F26" s="2">
        <f t="shared" si="2"/>
        <v>4</v>
      </c>
      <c r="G26" s="2" t="b">
        <v>0</v>
      </c>
      <c r="H26" s="2">
        <v>300334003</v>
      </c>
    </row>
    <row r="27" spans="2:8">
      <c r="D27" s="2" t="str">
        <f t="shared" si="3"/>
        <v/>
      </c>
      <c r="F27" s="2" t="str">
        <f t="shared" si="2"/>
        <v/>
      </c>
    </row>
    <row r="28" spans="2:8">
      <c r="B28" s="2">
        <v>4044001</v>
      </c>
      <c r="C28" s="2" t="s">
        <v>41</v>
      </c>
      <c r="D28" s="2">
        <f t="shared" si="3"/>
        <v>4</v>
      </c>
      <c r="E28" s="2">
        <v>0</v>
      </c>
      <c r="F28" s="2">
        <f t="shared" si="2"/>
        <v>4</v>
      </c>
      <c r="G28" s="2" t="b">
        <v>0</v>
      </c>
      <c r="H28" s="2">
        <v>300344001</v>
      </c>
    </row>
    <row r="29" spans="2:8">
      <c r="B29" s="2">
        <v>4044002</v>
      </c>
      <c r="C29" s="2" t="s">
        <v>42</v>
      </c>
      <c r="D29" s="2">
        <f t="shared" si="3"/>
        <v>4</v>
      </c>
      <c r="E29" s="2">
        <v>0</v>
      </c>
      <c r="F29" s="2">
        <f t="shared" si="2"/>
        <v>4</v>
      </c>
      <c r="G29" s="2" t="b">
        <v>0</v>
      </c>
      <c r="H29" s="2">
        <v>300344002</v>
      </c>
    </row>
    <row r="30" spans="2:8">
      <c r="B30" s="2">
        <v>4044003</v>
      </c>
      <c r="C30" s="2" t="s">
        <v>43</v>
      </c>
      <c r="D30" s="2">
        <f t="shared" si="3"/>
        <v>4</v>
      </c>
      <c r="E30" s="2">
        <v>0</v>
      </c>
      <c r="F30" s="2">
        <f t="shared" si="2"/>
        <v>4</v>
      </c>
      <c r="G30" s="2" t="b">
        <v>0</v>
      </c>
      <c r="H30" s="2">
        <v>300344003</v>
      </c>
    </row>
    <row r="31" spans="2:8">
      <c r="F31" s="2" t="str">
        <f t="shared" si="2"/>
        <v/>
      </c>
    </row>
    <row r="32" spans="2:8">
      <c r="B32" s="2">
        <v>5011001</v>
      </c>
      <c r="C32" s="2" t="s">
        <v>44</v>
      </c>
      <c r="D32" s="2">
        <f>IF(B32="","",INT(B32/1000000))</f>
        <v>5</v>
      </c>
      <c r="E32" s="2">
        <v>0</v>
      </c>
      <c r="F32" s="2">
        <f t="shared" si="2"/>
        <v>1</v>
      </c>
      <c r="G32" s="2" t="b">
        <v>0</v>
      </c>
    </row>
    <row r="33" s="2" customFormat="1" spans="2:8">
      <c r="B33" s="2">
        <v>5011002</v>
      </c>
      <c r="C33" s="2" t="s">
        <v>45</v>
      </c>
      <c r="D33" s="2">
        <f t="shared" ref="D33:D40" si="4">IF(B33="","",INT(B33/1000000))</f>
        <v>5</v>
      </c>
      <c r="E33" s="2">
        <v>0</v>
      </c>
      <c r="F33" s="2">
        <f t="shared" ref="F33:F38" si="5">IF(B33="","",MOD(INT(B33/1000),10))</f>
        <v>1</v>
      </c>
      <c r="G33" s="2" t="b">
        <v>0</v>
      </c>
      <c r="H33" s="2">
        <v>400311002</v>
      </c>
    </row>
    <row r="34" s="2" customFormat="1" spans="2:8">
      <c r="B34" s="2">
        <v>5011003</v>
      </c>
      <c r="C34" s="2" t="s">
        <v>46</v>
      </c>
      <c r="D34" s="2">
        <f t="shared" si="4"/>
        <v>5</v>
      </c>
      <c r="E34" s="2">
        <v>0</v>
      </c>
      <c r="F34" s="2">
        <f t="shared" si="5"/>
        <v>1</v>
      </c>
      <c r="G34" s="2" t="b">
        <v>0</v>
      </c>
      <c r="H34" s="2">
        <v>400311003</v>
      </c>
    </row>
    <row r="35" s="2" customFormat="1" spans="2:8">
      <c r="B35" s="2">
        <v>5011004</v>
      </c>
      <c r="C35" s="2" t="s">
        <v>47</v>
      </c>
      <c r="D35" s="2">
        <f t="shared" si="4"/>
        <v>5</v>
      </c>
      <c r="E35" s="2">
        <v>0</v>
      </c>
      <c r="F35" s="2">
        <f t="shared" si="5"/>
        <v>1</v>
      </c>
      <c r="G35" s="2" t="b">
        <v>0</v>
      </c>
      <c r="H35" s="2">
        <v>400311004</v>
      </c>
    </row>
    <row r="36" s="2" customFormat="1" spans="2:8">
      <c r="B36" s="2">
        <v>5011005</v>
      </c>
      <c r="C36" s="2" t="s">
        <v>48</v>
      </c>
      <c r="D36" s="2">
        <f t="shared" si="4"/>
        <v>5</v>
      </c>
      <c r="E36" s="2">
        <v>0</v>
      </c>
      <c r="F36" s="2">
        <f t="shared" si="5"/>
        <v>1</v>
      </c>
      <c r="G36" s="2" t="b">
        <v>0</v>
      </c>
      <c r="H36" s="2">
        <v>400311005</v>
      </c>
    </row>
    <row r="37" s="2" customFormat="1" spans="2:8">
      <c r="B37" s="2">
        <v>5011006</v>
      </c>
      <c r="C37" s="2" t="s">
        <v>49</v>
      </c>
      <c r="D37" s="2">
        <f t="shared" si="4"/>
        <v>5</v>
      </c>
      <c r="E37" s="2">
        <v>0</v>
      </c>
      <c r="F37" s="2">
        <f t="shared" si="5"/>
        <v>1</v>
      </c>
      <c r="G37" s="2" t="b">
        <v>0</v>
      </c>
      <c r="H37" s="2">
        <v>400311006</v>
      </c>
    </row>
    <row r="38" s="2" customFormat="1" spans="2:8">
      <c r="B38" s="2">
        <v>5011007</v>
      </c>
      <c r="C38" s="2" t="s">
        <v>50</v>
      </c>
      <c r="D38" s="2">
        <f t="shared" si="4"/>
        <v>5</v>
      </c>
      <c r="E38" s="2">
        <v>0</v>
      </c>
      <c r="F38" s="2">
        <f t="shared" si="5"/>
        <v>1</v>
      </c>
      <c r="G38" s="2" t="b">
        <v>0</v>
      </c>
      <c r="H38" s="2">
        <v>400311007</v>
      </c>
    </row>
    <row r="39" spans="2:8">
      <c r="D39" s="2" t="str">
        <f t="shared" si="4"/>
        <v/>
      </c>
      <c r="F39" s="2" t="str">
        <f t="shared" ref="F39:F42" si="6">IF(B39="","",MOD(INT(B39/1000),10))</f>
        <v/>
      </c>
    </row>
    <row r="40" spans="2:8">
      <c r="B40" s="2">
        <v>6011001</v>
      </c>
      <c r="C40" s="2" t="s">
        <v>51</v>
      </c>
      <c r="D40" s="2">
        <f t="shared" si="4"/>
        <v>6</v>
      </c>
      <c r="E40" s="2">
        <v>0</v>
      </c>
      <c r="F40" s="2">
        <f t="shared" si="6"/>
        <v>1</v>
      </c>
      <c r="G40" s="2" t="b">
        <v>0</v>
      </c>
      <c r="H40" s="2">
        <v>500211001</v>
      </c>
    </row>
    <row r="41" spans="2:8">
      <c r="B41" s="2">
        <v>6011002</v>
      </c>
      <c r="C41" s="2" t="s">
        <v>52</v>
      </c>
      <c r="D41" s="2">
        <f t="shared" ref="D41:D49" si="7">IF(B41="","",INT(B41/1000000))</f>
        <v>6</v>
      </c>
      <c r="E41" s="2">
        <v>0</v>
      </c>
      <c r="F41" s="2">
        <v>1</v>
      </c>
      <c r="G41" s="2" t="b">
        <v>0</v>
      </c>
      <c r="H41" s="2">
        <v>500211002</v>
      </c>
    </row>
    <row r="42" spans="2:8">
      <c r="B42" s="2">
        <v>6011003</v>
      </c>
      <c r="C42" s="2" t="s">
        <v>53</v>
      </c>
      <c r="D42" s="2">
        <f t="shared" si="7"/>
        <v>6</v>
      </c>
      <c r="E42" s="2">
        <v>0</v>
      </c>
      <c r="F42" s="2">
        <f t="shared" si="6"/>
        <v>1</v>
      </c>
      <c r="G42" s="2" t="b">
        <v>0</v>
      </c>
      <c r="H42" s="2">
        <v>500211003</v>
      </c>
    </row>
    <row r="43" spans="2:8">
      <c r="B43" s="2">
        <v>6011004</v>
      </c>
      <c r="C43" s="2" t="s">
        <v>54</v>
      </c>
      <c r="D43" s="2">
        <f t="shared" si="7"/>
        <v>6</v>
      </c>
      <c r="E43" s="2">
        <v>0</v>
      </c>
      <c r="F43" s="2">
        <v>1</v>
      </c>
      <c r="G43" s="2" t="b">
        <v>0</v>
      </c>
      <c r="H43" s="2">
        <v>500211004</v>
      </c>
    </row>
    <row r="44" spans="2:8">
      <c r="B44" s="2">
        <v>6011005</v>
      </c>
      <c r="C44" s="2" t="s">
        <v>55</v>
      </c>
      <c r="D44" s="2">
        <f t="shared" si="7"/>
        <v>6</v>
      </c>
      <c r="E44" s="2">
        <v>0</v>
      </c>
      <c r="F44" s="2">
        <f>IF(B44="","",MOD(INT(B44/1000),10))</f>
        <v>1</v>
      </c>
      <c r="G44" s="2" t="b">
        <v>0</v>
      </c>
      <c r="H44" s="2">
        <v>500211005</v>
      </c>
    </row>
    <row r="45" spans="2:8">
      <c r="B45" s="2">
        <v>6011006</v>
      </c>
      <c r="C45" s="2" t="s">
        <v>56</v>
      </c>
      <c r="D45" s="2">
        <f t="shared" si="7"/>
        <v>6</v>
      </c>
      <c r="E45" s="2">
        <v>0</v>
      </c>
      <c r="F45" s="2">
        <v>1</v>
      </c>
      <c r="G45" s="2" t="b">
        <v>0</v>
      </c>
      <c r="H45" s="2">
        <v>500211006</v>
      </c>
    </row>
    <row r="46" spans="2:8">
      <c r="B46" s="2">
        <v>6011007</v>
      </c>
      <c r="C46" s="2" t="s">
        <v>57</v>
      </c>
      <c r="D46" s="2">
        <f t="shared" si="7"/>
        <v>6</v>
      </c>
      <c r="E46" s="2">
        <v>0</v>
      </c>
      <c r="F46" s="2">
        <f>IF(B46="","",MOD(INT(B46/1000),10))</f>
        <v>1</v>
      </c>
      <c r="G46" s="2" t="b">
        <v>0</v>
      </c>
      <c r="H46" s="2">
        <v>500211007</v>
      </c>
    </row>
    <row r="47" spans="2:8">
      <c r="B47" s="2">
        <v>6011008</v>
      </c>
      <c r="C47" s="2" t="s">
        <v>58</v>
      </c>
      <c r="D47" s="2">
        <f t="shared" si="7"/>
        <v>6</v>
      </c>
      <c r="E47" s="2">
        <v>0</v>
      </c>
      <c r="F47" s="2">
        <v>1</v>
      </c>
      <c r="G47" s="2" t="b">
        <v>0</v>
      </c>
      <c r="H47" s="2">
        <v>500211008</v>
      </c>
    </row>
    <row r="48" spans="2:8">
      <c r="B48" s="2">
        <v>6011009</v>
      </c>
      <c r="C48" s="2" t="s">
        <v>59</v>
      </c>
      <c r="D48" s="2">
        <f t="shared" si="7"/>
        <v>6</v>
      </c>
      <c r="E48" s="2">
        <v>0</v>
      </c>
      <c r="F48" s="2">
        <f>IF(B48="","",MOD(INT(B48/1000),10))</f>
        <v>1</v>
      </c>
      <c r="G48" s="2" t="b">
        <v>0</v>
      </c>
      <c r="H48" s="2">
        <v>500211009</v>
      </c>
    </row>
    <row r="49" spans="2:10">
      <c r="B49" s="2">
        <v>6011010</v>
      </c>
      <c r="C49" s="2" t="s">
        <v>60</v>
      </c>
      <c r="D49" s="2">
        <f t="shared" si="7"/>
        <v>6</v>
      </c>
      <c r="E49" s="2">
        <v>0</v>
      </c>
      <c r="F49" s="2">
        <v>1</v>
      </c>
      <c r="G49" s="2" t="b">
        <v>0</v>
      </c>
      <c r="H49" s="2">
        <v>500211010</v>
      </c>
    </row>
    <row r="50" spans="2:10">
      <c r="D50" s="2" t="str">
        <f t="shared" ref="D50:D64" si="8">IF(B50="","",INT(B50/1000000))</f>
        <v/>
      </c>
      <c r="F50" s="2" t="str">
        <f t="shared" ref="F50:F61" si="9">IF(B50="","",MOD(INT(B50/1000),10))</f>
        <v/>
      </c>
    </row>
    <row r="51" spans="2:10">
      <c r="B51" s="2">
        <v>7024001</v>
      </c>
      <c r="C51" s="2" t="s">
        <v>61</v>
      </c>
      <c r="D51" s="2">
        <f t="shared" si="8"/>
        <v>7</v>
      </c>
      <c r="E51" s="2">
        <v>0</v>
      </c>
      <c r="F51" s="2">
        <f t="shared" si="9"/>
        <v>4</v>
      </c>
      <c r="G51" s="2" t="b">
        <v>0</v>
      </c>
    </row>
    <row r="52" spans="2:10">
      <c r="B52" s="2">
        <v>7024002</v>
      </c>
      <c r="C52" s="2" t="s">
        <v>62</v>
      </c>
      <c r="D52" s="2">
        <f t="shared" si="8"/>
        <v>7</v>
      </c>
      <c r="E52" s="2">
        <v>0</v>
      </c>
      <c r="F52" s="2">
        <f t="shared" si="9"/>
        <v>4</v>
      </c>
      <c r="G52" s="2" t="b">
        <v>0</v>
      </c>
    </row>
    <row r="53" spans="2:10">
      <c r="B53" s="2">
        <v>7024003</v>
      </c>
      <c r="C53" s="2" t="s">
        <v>63</v>
      </c>
      <c r="D53" s="2">
        <f t="shared" si="8"/>
        <v>7</v>
      </c>
      <c r="E53" s="2">
        <v>0</v>
      </c>
      <c r="F53" s="2">
        <f t="shared" si="9"/>
        <v>4</v>
      </c>
      <c r="G53" s="2" t="b">
        <v>0</v>
      </c>
    </row>
    <row r="54" spans="2:10">
      <c r="D54" s="2" t="str">
        <f t="shared" si="8"/>
        <v/>
      </c>
      <c r="F54" s="2" t="str">
        <f t="shared" si="9"/>
        <v/>
      </c>
    </row>
    <row r="55" spans="2:10">
      <c r="B55" s="2">
        <v>7034001</v>
      </c>
      <c r="C55" s="2" t="s">
        <v>64</v>
      </c>
      <c r="D55" s="2">
        <f t="shared" si="8"/>
        <v>7</v>
      </c>
      <c r="E55" s="2">
        <v>0</v>
      </c>
      <c r="F55" s="2">
        <f t="shared" si="9"/>
        <v>4</v>
      </c>
      <c r="G55" s="2" t="b">
        <v>0</v>
      </c>
    </row>
    <row r="56" spans="2:10">
      <c r="B56" s="2">
        <v>7034002</v>
      </c>
      <c r="C56" s="2" t="s">
        <v>65</v>
      </c>
      <c r="D56" s="2">
        <f t="shared" si="8"/>
        <v>7</v>
      </c>
      <c r="E56" s="2">
        <v>0</v>
      </c>
      <c r="F56" s="2">
        <f t="shared" si="9"/>
        <v>4</v>
      </c>
      <c r="G56" s="2" t="b">
        <v>0</v>
      </c>
    </row>
    <row r="57" spans="2:10">
      <c r="B57" s="2">
        <v>7034003</v>
      </c>
      <c r="C57" s="2" t="s">
        <v>66</v>
      </c>
      <c r="D57" s="2">
        <f t="shared" si="8"/>
        <v>7</v>
      </c>
      <c r="E57" s="2">
        <v>0</v>
      </c>
      <c r="F57" s="2">
        <f t="shared" si="9"/>
        <v>4</v>
      </c>
      <c r="G57" s="2" t="b">
        <v>0</v>
      </c>
    </row>
    <row r="58" spans="2:10">
      <c r="D58" s="2" t="str">
        <f t="shared" si="8"/>
        <v/>
      </c>
      <c r="F58" s="2" t="str">
        <f t="shared" si="9"/>
        <v/>
      </c>
    </row>
    <row r="59" spans="2:10">
      <c r="B59" s="2">
        <v>7044001</v>
      </c>
      <c r="C59" s="2" t="s">
        <v>67</v>
      </c>
      <c r="D59" s="2">
        <f t="shared" si="8"/>
        <v>7</v>
      </c>
      <c r="E59" s="2">
        <v>0</v>
      </c>
      <c r="F59" s="2">
        <f t="shared" si="9"/>
        <v>4</v>
      </c>
      <c r="G59" s="2" t="b">
        <v>0</v>
      </c>
    </row>
    <row r="60" spans="2:10">
      <c r="B60" s="2">
        <v>7044002</v>
      </c>
      <c r="C60" s="2" t="s">
        <v>68</v>
      </c>
      <c r="D60" s="2">
        <f t="shared" si="8"/>
        <v>7</v>
      </c>
      <c r="E60" s="2">
        <v>0</v>
      </c>
      <c r="F60" s="2">
        <f t="shared" si="9"/>
        <v>4</v>
      </c>
      <c r="G60" s="2" t="b">
        <v>0</v>
      </c>
    </row>
    <row r="61" spans="2:10">
      <c r="B61" s="2">
        <v>7044003</v>
      </c>
      <c r="C61" s="2" t="s">
        <v>69</v>
      </c>
      <c r="D61" s="2">
        <f t="shared" si="8"/>
        <v>7</v>
      </c>
      <c r="E61" s="2">
        <v>0</v>
      </c>
      <c r="F61" s="2">
        <f t="shared" si="9"/>
        <v>4</v>
      </c>
      <c r="G61" s="2" t="b">
        <v>0</v>
      </c>
    </row>
    <row r="62" spans="2:10">
      <c r="D62" s="2" t="str">
        <f t="shared" si="8"/>
        <v/>
      </c>
    </row>
    <row r="63" spans="2:10">
      <c r="B63" s="2">
        <v>8001001</v>
      </c>
      <c r="C63" s="2" t="s">
        <v>70</v>
      </c>
      <c r="D63" s="2">
        <f t="shared" si="8"/>
        <v>8</v>
      </c>
      <c r="E63" s="2">
        <v>0</v>
      </c>
      <c r="F63" s="2">
        <v>1</v>
      </c>
      <c r="G63" s="2" t="b">
        <v>0</v>
      </c>
      <c r="I63" s="2">
        <v>1</v>
      </c>
      <c r="J63" s="2">
        <v>1</v>
      </c>
    </row>
    <row r="64" spans="2:10">
      <c r="B64" s="2">
        <v>8001002</v>
      </c>
      <c r="C64" s="2" t="s">
        <v>71</v>
      </c>
      <c r="D64" s="2">
        <f t="shared" si="8"/>
        <v>8</v>
      </c>
      <c r="E64" s="2">
        <v>0</v>
      </c>
      <c r="F64" s="2">
        <v>1</v>
      </c>
      <c r="G64" s="2" t="b">
        <v>0</v>
      </c>
      <c r="I64" s="2">
        <v>2</v>
      </c>
      <c r="J64" s="2">
        <v>1</v>
      </c>
    </row>
  </sheetData>
  <autoFilter xmlns:etc="http://www.wps.cn/officeDocument/2017/etCustomData" ref="A3:G64" etc:filterBottomFollowUsedRange="0">
    <extLst/>
  </autoFilter>
  <conditionalFormatting sqref="D3">
    <cfRule type="duplicateValues" dxfId="0" priority="33"/>
  </conditionalFormatting>
  <conditionalFormatting sqref="E3:F3">
    <cfRule type="duplicateValues" dxfId="0" priority="31"/>
  </conditionalFormatting>
  <conditionalFormatting sqref="G3">
    <cfRule type="duplicateValues" dxfId="0" priority="30"/>
  </conditionalFormatting>
  <conditionalFormatting sqref="B4">
    <cfRule type="duplicateValues" dxfId="0" priority="49"/>
  </conditionalFormatting>
  <conditionalFormatting sqref="B5">
    <cfRule type="duplicateValues" dxfId="0" priority="29"/>
  </conditionalFormatting>
  <conditionalFormatting sqref="B6">
    <cfRule type="duplicateValues" dxfId="0" priority="28"/>
  </conditionalFormatting>
  <conditionalFormatting sqref="B8">
    <cfRule type="duplicateValues" dxfId="0" priority="27"/>
  </conditionalFormatting>
  <conditionalFormatting sqref="B31">
    <cfRule type="duplicateValues" dxfId="0" priority="21"/>
  </conditionalFormatting>
  <conditionalFormatting sqref="B32">
    <cfRule type="duplicateValues" dxfId="0" priority="26"/>
  </conditionalFormatting>
  <conditionalFormatting sqref="B53">
    <cfRule type="duplicateValues" dxfId="0" priority="22"/>
  </conditionalFormatting>
  <conditionalFormatting sqref="B63">
    <cfRule type="duplicateValues" dxfId="0" priority="5"/>
  </conditionalFormatting>
  <conditionalFormatting sqref="B64">
    <cfRule type="duplicateValues" dxfId="0" priority="4"/>
  </conditionalFormatting>
  <conditionalFormatting sqref="B18:B19">
    <cfRule type="duplicateValues" dxfId="0" priority="20"/>
  </conditionalFormatting>
  <conditionalFormatting sqref="B20:B23">
    <cfRule type="duplicateValues" dxfId="0" priority="18"/>
  </conditionalFormatting>
  <conditionalFormatting sqref="B24:B30">
    <cfRule type="duplicateValues" dxfId="0" priority="17"/>
  </conditionalFormatting>
  <conditionalFormatting sqref="B33:B38">
    <cfRule type="duplicateValues" dxfId="0" priority="7"/>
  </conditionalFormatting>
  <conditionalFormatting sqref="B40:B49">
    <cfRule type="duplicateValues" dxfId="0" priority="3"/>
  </conditionalFormatting>
  <conditionalFormatting sqref="B59:B61">
    <cfRule type="duplicateValues" dxfId="0" priority="16"/>
  </conditionalFormatting>
  <conditionalFormatting sqref="H20:H22">
    <cfRule type="duplicateValues" dxfId="0" priority="10"/>
  </conditionalFormatting>
  <conditionalFormatting sqref="H24:H26">
    <cfRule type="duplicateValues" dxfId="0" priority="9"/>
  </conditionalFormatting>
  <conditionalFormatting sqref="H28:H30">
    <cfRule type="duplicateValues" dxfId="0" priority="8"/>
  </conditionalFormatting>
  <conditionalFormatting sqref="H33:H38">
    <cfRule type="duplicateValues" dxfId="0" priority="6"/>
  </conditionalFormatting>
  <conditionalFormatting sqref="B1:B3 B7 B9:B17 B39 B50 B54:B58 B62 B65:B1048576">
    <cfRule type="duplicateValues" dxfId="0" priority="118"/>
  </conditionalFormatting>
  <conditionalFormatting sqref="H23 H27">
    <cfRule type="duplicateValues" dxfId="0" priority="11"/>
  </conditionalFormatting>
  <conditionalFormatting sqref="H40 H42 H44 H46 H48">
    <cfRule type="duplicateValues" dxfId="0" priority="2"/>
  </conditionalFormatting>
  <conditionalFormatting sqref="H41 H43 H45 H47 H49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2026-03-13T13:15:36Z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