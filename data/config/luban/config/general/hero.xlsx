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FFFFFF"/>
      <sz val="12"/>
    </font>
    <font>
      <name val="微软雅黑"/>
      <color rgb="00000000"/>
      <sz val="12"/>
    </font>
    <font>
      <name val="微软雅黑"/>
      <color rgb="00595959"/>
      <sz val="12"/>
    </font>
    <font>
      <name val="微软雅黑"/>
      <sz val="12"/>
    </font>
  </fonts>
  <fills count="5">
    <fill>
      <patternFill/>
    </fill>
    <fill>
      <patternFill patternType="gray125"/>
    </fill>
    <fill>
      <patternFill patternType="solid">
        <fgColor rgb="00D6A362"/>
        <bgColor rgb="00D6A362"/>
      </patternFill>
    </fill>
    <fill>
      <patternFill patternType="solid">
        <fgColor rgb="00F2DCB5"/>
        <bgColor rgb="00F2DCB5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##var</t>
        </is>
      </c>
      <c r="B1" s="2" t="inlineStr">
        <is>
          <t>item_template_id</t>
        </is>
      </c>
      <c r="C1" s="2" t="inlineStr">
        <is>
          <t>#name</t>
        </is>
      </c>
      <c r="D1" s="2" t="inlineStr">
        <is>
          <t>quality</t>
        </is>
      </c>
      <c r="E1" s="2" t="inlineStr">
        <is>
          <t>type</t>
        </is>
      </c>
      <c r="F1" s="2" t="inlineStr">
        <is>
          <t>icon_res</t>
        </is>
      </c>
      <c r="G1" s="2" t="inlineStr">
        <is>
          <t>full_res</t>
        </is>
      </c>
      <c r="H1" s="2" t="inlineStr">
        <is>
          <t>hidden</t>
        </is>
      </c>
      <c r="I1" s="2" t="inlineStr">
        <is>
          <t>desc</t>
        </is>
      </c>
      <c r="J1" s="2" t="inlineStr">
        <is>
          <t>attribute</t>
        </is>
      </c>
    </row>
    <row r="2">
      <c r="A2" s="3" t="inlineStr">
        <is>
          <t>##type</t>
        </is>
      </c>
      <c r="B2" s="4" t="inlineStr">
        <is>
          <t>int</t>
        </is>
      </c>
      <c r="C2" s="4" t="inlineStr">
        <is>
          <t>string</t>
        </is>
      </c>
      <c r="D2" s="4" t="inlineStr">
        <is>
          <t>quality_type</t>
        </is>
      </c>
      <c r="E2" s="4" t="inlineStr">
        <is>
          <t>hero_type</t>
        </is>
      </c>
      <c r="F2" s="4" t="inlineStr">
        <is>
          <t>string</t>
        </is>
      </c>
      <c r="G2" s="4" t="inlineStr">
        <is>
          <t>string</t>
        </is>
      </c>
      <c r="H2" s="4" t="inlineStr">
        <is>
          <t>bool</t>
        </is>
      </c>
      <c r="I2" s="4" t="inlineStr">
        <is>
          <t>string</t>
        </is>
      </c>
      <c r="J2" s="4" t="inlineStr">
        <is>
          <t>list#sep=|,attribute_bonus</t>
        </is>
      </c>
    </row>
    <row r="3">
      <c r="A3" s="5" t="inlineStr">
        <is>
          <t>##</t>
        </is>
      </c>
      <c r="B3" s="6" t="inlineStr">
        <is>
          <t>英雄编号</t>
        </is>
      </c>
      <c r="C3" s="6" t="inlineStr">
        <is>
          <t>英雄名称</t>
        </is>
      </c>
      <c r="D3" s="6" t="inlineStr">
        <is>
          <t>品质</t>
        </is>
      </c>
      <c r="E3" s="6" t="inlineStr">
        <is>
          <t>类型</t>
        </is>
      </c>
      <c r="F3" s="6" t="inlineStr">
        <is>
          <t>小图资源路径</t>
        </is>
      </c>
      <c r="G3" s="6" t="inlineStr">
        <is>
          <t>详情时的资源路径</t>
        </is>
      </c>
      <c r="H3" s="6" t="inlineStr">
        <is>
          <t>未解锁时是否在列表中可见</t>
        </is>
      </c>
      <c r="I3" s="6" t="inlineStr">
        <is>
          <t>获取途径描述文案</t>
        </is>
      </c>
      <c r="J3" s="6" t="inlineStr">
        <is>
          <t>属性加成</t>
        </is>
      </c>
    </row>
    <row r="4">
      <c r="A4" s="7" t="inlineStr">
        <is>
          <t># 帝王英雄 (Emperor Heroes)</t>
        </is>
      </c>
    </row>
    <row r="5">
      <c r="A5" s="7" t="n"/>
      <c r="B5" s="7" t="n">
        <v>7024001</v>
      </c>
      <c r="C5" s="7" t="inlineStr">
        <is>
          <t>嬴政</t>
        </is>
      </c>
      <c t="str" r="D5" s="7">
        <f>IF(B5="","",MOD(INT(B5/1000),10))</f>
        <v>4</v>
      </c>
      <c t="str" r="E5" s="7">
        <f>IF(B5="","",MOD(INT(B5/10000),10))</f>
        <v>2</v>
      </c>
      <c r="F5" s="7">
        <f>"Assets/Game/Textures/Hero/"&amp;B5&amp;".png"</f>
        <v/>
      </c>
      <c r="G5" s="7" t="n"/>
      <c r="H5" s="7" t="b">
        <v>1</v>
      </c>
      <c r="I5" s="7" t="n"/>
      <c r="J5" s="7" t="n"/>
    </row>
    <row r="6">
      <c r="A6" s="7" t="n"/>
      <c r="B6" s="7" t="n">
        <v>7024002</v>
      </c>
      <c r="C6" s="7" t="inlineStr">
        <is>
          <t>刘彻</t>
        </is>
      </c>
      <c t="str" r="D6" s="7">
        <f>IF(B6="","",MOD(INT(B6/1000),10))</f>
        <v>4</v>
      </c>
      <c t="str" r="E6" s="7">
        <f>IF(B6="","",MOD(INT(B6/10000),10))</f>
        <v>2</v>
      </c>
      <c r="F6" s="7">
        <f>"Assets/Game/Textures/Hero/"&amp;B6&amp;".png"</f>
        <v/>
      </c>
      <c r="G6" s="7" t="n"/>
      <c r="H6" s="7" t="b">
        <v>1</v>
      </c>
      <c r="I6" s="7" t="n"/>
      <c r="J6" s="7" t="n"/>
    </row>
    <row r="7">
      <c r="A7" s="7" t="n"/>
      <c r="B7" s="7" t="n">
        <v>7024003</v>
      </c>
      <c r="C7" s="7" t="inlineStr">
        <is>
          <t>李世民</t>
        </is>
      </c>
      <c t="str" r="D7" s="7">
        <f>IF(B7="","",MOD(INT(B7/1000),10))</f>
        <v>4</v>
      </c>
      <c t="str" r="E7" s="7">
        <f>IF(B7="","",MOD(INT(B7/10000),10))</f>
        <v>2</v>
      </c>
      <c r="F7" s="7">
        <f>"Assets/Game/Textures/Hero/"&amp;B7&amp;".png"</f>
        <v/>
      </c>
      <c r="G7" s="7" t="n"/>
      <c r="H7" s="7" t="b">
        <v>1</v>
      </c>
      <c r="I7" s="7" t="n"/>
      <c r="J7" s="7" t="n"/>
    </row>
    <row r="9">
      <c r="A9" s="7" t="inlineStr">
        <is>
          <t># 后宫英雄 (Harem Heroes)</t>
        </is>
      </c>
    </row>
    <row r="10">
      <c r="A10" s="7" t="n"/>
      <c r="B10" s="7" t="n">
        <v>7034001</v>
      </c>
      <c r="C10" s="7" t="inlineStr">
        <is>
          <t>赵飞燕</t>
        </is>
      </c>
      <c t="str" r="D10" s="7">
        <f>IF(B10="","",MOD(INT(B10/1000),10))</f>
        <v>4</v>
      </c>
      <c t="str" r="E10" s="7">
        <f>IF(B10="","",MOD(INT(B10/10000),10))</f>
        <v>3</v>
      </c>
      <c r="F10" s="7">
        <f>"Assets/Game/Textures/Hero/"&amp;B10&amp;".png"</f>
        <v/>
      </c>
      <c r="G10" s="7" t="n"/>
      <c r="H10" s="7" t="b">
        <v>1</v>
      </c>
      <c r="I10" s="7" t="n"/>
      <c r="J10" s="7" t="n"/>
    </row>
    <row r="11">
      <c r="A11" s="7" t="n"/>
      <c r="B11" s="7" t="n">
        <v>7034002</v>
      </c>
      <c r="C11" s="7" t="inlineStr">
        <is>
          <t>蔡文姬</t>
        </is>
      </c>
      <c t="str" r="D11" s="7">
        <f>IF(B11="","",MOD(INT(B11/1000),10))</f>
        <v>4</v>
      </c>
      <c t="str" r="E11" s="7">
        <f>IF(B11="","",MOD(INT(B11/10000),10))</f>
        <v>3</v>
      </c>
      <c r="F11" s="7">
        <f>"Assets/Game/Textures/Hero/"&amp;B11&amp;".png"</f>
        <v/>
      </c>
      <c r="G11" s="7" t="n"/>
      <c r="H11" s="7" t="b">
        <v>1</v>
      </c>
      <c r="I11" s="7" t="n"/>
      <c r="J11" s="7" t="n"/>
    </row>
    <row r="12">
      <c r="A12" s="7" t="n"/>
      <c r="B12" s="7" t="n">
        <v>7034003</v>
      </c>
      <c r="C12" s="7" t="inlineStr">
        <is>
          <t>杨玉环</t>
        </is>
      </c>
      <c t="str" r="D12" s="7">
        <f>IF(B12="","",MOD(INT(B12/1000),10))</f>
        <v>4</v>
      </c>
      <c t="str" r="E12" s="7">
        <f>IF(B12="","",MOD(INT(B12/10000),10))</f>
        <v>3</v>
      </c>
      <c r="F12" s="7">
        <f>"Assets/Game/Textures/Hero/"&amp;B12&amp;".png"</f>
        <v/>
      </c>
      <c r="G12" s="7" t="n"/>
      <c r="H12" s="7" t="b">
        <v>1</v>
      </c>
      <c r="I12" s="7" t="n"/>
      <c r="J12" s="7" t="n"/>
    </row>
    <row r="14">
      <c r="A14" s="7" t="inlineStr">
        <is>
          <t># 名臣英雄 (Minister Heroes)</t>
        </is>
      </c>
    </row>
    <row r="15">
      <c r="A15" s="7" t="n"/>
      <c r="B15" s="7" t="n">
        <v>7044001</v>
      </c>
      <c r="C15" s="7" t="inlineStr">
        <is>
          <t>白起</t>
        </is>
      </c>
      <c t="str" r="D15" s="7">
        <f>IF(B15="","",MOD(INT(B15/1000),10))</f>
        <v>4</v>
      </c>
      <c t="str" r="E15" s="7">
        <f>IF(B15="","",MOD(INT(B15/10000),10))</f>
        <v>4</v>
      </c>
      <c r="F15" s="7">
        <f>"Assets/Game/Textures/Hero/"&amp;B15&amp;".png"</f>
        <v/>
      </c>
      <c r="G15" s="7" t="n"/>
      <c r="H15" s="7" t="b">
        <v>1</v>
      </c>
      <c r="I15" s="7" t="n"/>
      <c r="J15" s="7" t="n"/>
    </row>
    <row r="16">
      <c r="A16" s="7" t="n"/>
      <c r="B16" s="7" t="n">
        <v>7044002</v>
      </c>
      <c r="C16" s="7" t="inlineStr">
        <is>
          <t>张骞</t>
        </is>
      </c>
      <c t="str" r="D16" s="7">
        <f>IF(B16="","",MOD(INT(B16/1000),10))</f>
        <v>4</v>
      </c>
      <c t="str" r="E16" s="7">
        <f>IF(B16="","",MOD(INT(B16/10000),10))</f>
        <v>4</v>
      </c>
      <c r="F16" s="7">
        <f>"Assets/Game/Textures/Hero/"&amp;B16&amp;".png"</f>
        <v/>
      </c>
      <c r="G16" s="7" t="n"/>
      <c r="H16" s="7" t="b">
        <v>1</v>
      </c>
      <c r="I16" s="7" t="n"/>
      <c r="J16" s="7" t="n"/>
    </row>
    <row r="17">
      <c r="A17" s="7" t="n"/>
      <c r="B17" s="7" t="n">
        <v>7044003</v>
      </c>
      <c r="C17" s="7" t="inlineStr">
        <is>
          <t>房玄龄</t>
        </is>
      </c>
      <c t="str" r="D17" s="7">
        <f>IF(B17="","",MOD(INT(B17/1000),10))</f>
        <v>4</v>
      </c>
      <c t="str" r="E17" s="7">
        <f>IF(B17="","",MOD(INT(B17/10000),10))</f>
        <v>4</v>
      </c>
      <c r="F17" s="7">
        <f>"Assets/Game/Textures/Hero/"&amp;B17&amp;".png"</f>
        <v/>
      </c>
      <c r="G17" s="7" t="n"/>
      <c r="H17" s="7" t="b">
        <v>1</v>
      </c>
      <c r="I17" s="7" t="n"/>
      <c r="J17" s="7" t="n"/>
    </row>
    <row r="19">
      <c r="A19" s="7" t="inlineStr">
        <is>
          <t># 普通英雄 (Common Heroes)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2024-01-01T00:00:00Z</dcterms:created>
  <dcterms:modified xsi:type="dcterms:W3CDTF">2024-01-01T00:00:00Z</dcterms:modified>
</cp:coreProperties>
</file>