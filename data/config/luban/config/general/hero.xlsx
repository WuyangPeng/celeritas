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<sst xmlns="http://schemas.openxmlformats.org/spreadsheetml/2006/main" count="38" uniqueCount="36">
  <si>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##var</t>
  </si>
  <si>
    <t>item_template_id</t>
  </si>
  <si>
    <t>#name</t>
  </si>
  <si>
    <t>quality</t>
  </si>
  <si>
    <t>type</t>
  </si>
  <si>
    <t>icon_res</t>
  </si>
  <si>
    <t>full_res</t>
  </si>
  <si>
    <t>hidden</t>
  </si>
  <si>
    <t>desc</t>
  </si>
  <si>
    <t>attribute</t>
  </si>
  <si>
    <t>##type</t>
  </si>
  <si>
    <t>int</t>
  </si>
  <si>
    <t>quality_type</t>
  </si>
  <si>
    <t>hero_type</t>
  </si>
  <si>
    <t>string</t>
  </si>
  <si>
    <t>bool</t>
  </si>
  <si>
    <t>list#sep=|,attribute_bonus</t>
  </si>
  <si>
    <t>##</t>
  </si>
  <si>
    <t>英雄编号</t>
  </si>
  <si>
    <t>英雄名称</t>
  </si>
  <si>
    <t>品质</t>
  </si>
  <si>
    <t>类型</t>
  </si>
  <si>
    <t>小图资源路径</t>
  </si>
  <si>
    <t>详情时的资源路径</t>
  </si>
  <si>
    <t>未解锁时是否在列表中可见</t>
  </si>
  <si>
    <t>获取途径描述文案</t>
  </si>
  <si>
    <t>属性加成</t>
  </si>
  <si>
    <t>嬴政</t>
  </si>
  <si>
    <t>刘彻</t>
  </si>
  <si>
    <t>李世民</t>
  </si>
  <si>
    <t>赵飞燕</t>
  </si>
  <si>
    <t>蔡文姬</t>
  </si>
  <si>
    <t>杨玉环</t>
  </si>
  <si>
    <t>白起</t>
  </si>
  <si>
    <t>张骞</t>
  </si>
  <si>
    <t>房玄龄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</si>
</sst>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J14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C14" sqref="C14"/>
    </sheetView>
  </sheetViews>
  <sheetFormatPr defaultColWidth="9" defaultRowHeight="16.5"/>
  <cols>
    <col min="1" max="1" width="32.8833333333333" style="2" customWidth="1"/>
    <col min="2" max="2" width="18.125" style="2" customWidth="1"/>
    <col min="3" max="3" width="29.75" style="2" customWidth="1"/>
    <col min="4" max="4" width="12.75" style="2" customWidth="1"/>
    <col min="5" max="5" width="12.125" style="2" customWidth="1"/>
    <col min="6" max="6" width="37.25" style="2" customWidth="1"/>
    <col min="7" max="7" width="17.125" style="2" customWidth="1"/>
    <col min="8" max="8" width="25.375" style="2" customWidth="1"/>
    <col min="9" max="9" width="17.125" style="2" customWidth="1"/>
    <col min="10" max="10" width="27.125" style="2" customWidth="1"/>
    <col min="11" max="16384" width="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14</v>
      </c>
      <c r="J2" s="1" t="s">
        <v>16</v>
      </c>
    </row>
    <row r="3" s="1" customFormat="1" ht="203.1" customHeight="1" spans="1:10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0">
      <c r="B4" s="2">
        <v>7024001</v>
      </c>
      <c r="C4" s="2" t="s">
        <v>27</v>
      </c>
      <c r="D4" s="2">
        <f t="shared" ref="D4:D14" si="0">IF(B4="","",MOD(INT(B4/1000),10))</f>
        <v>4</v>
      </c>
      <c r="E4" s="2">
        <f>IF(B4="","",MOD(INT(B4/10000),10))</f>
        <v>2</v>
      </c>
      <c r="F4" s="2" t="str">
        <f>"Assets/Game/Textures/Hero/"&amp;B4&amp;".png"</f>
        <v>Assets/Game/Textures/Hero/7024001.png</v>
      </c>
      <c r="H4" s="2" t="b">
        <v>1</v>
      </c>
    </row>
    <row r="5" spans="1:10">
      <c r="B5" s="2">
        <v>7024002</v>
      </c>
      <c r="C5" s="2" t="s">
        <v>28</v>
      </c>
      <c r="D5" s="2">
        <f t="shared" si="0"/>
        <v>4</v>
      </c>
      <c r="E5" s="2">
        <f t="shared" ref="E5:E14" si="1">IF(B5="","",MOD(INT(B5/10000),10))</f>
        <v>2</v>
      </c>
      <c r="F5" s="2" t="str">
        <f>"Assets/Game/Textures/Hero/"&amp;B5&amp;".png"</f>
        <v>Assets/Game/Textures/Hero/7024002.png</v>
      </c>
      <c r="H5" s="2" t="b">
        <v>1</v>
      </c>
    </row>
    <row r="6" spans="1:10">
      <c r="B6" s="2">
        <v>7024003</v>
      </c>
      <c r="C6" s="2" t="s">
        <v>29</v>
      </c>
      <c r="D6" s="2">
        <f t="shared" si="0"/>
        <v>4</v>
      </c>
      <c r="E6" s="2">
        <f t="shared" si="1"/>
        <v>2</v>
      </c>
      <c r="F6" s="2" t="str">
        <f>"Assets/Game/Textures/Hero/"&amp;B6&amp;".png"</f>
        <v>Assets/Game/Textures/Hero/7024003.png</v>
      </c>
      <c r="H6" s="2" t="b">
        <v>1</v>
      </c>
    </row>
    <row r="7" spans="1:10">
      <c r="D7" s="2" t="str">
        <f t="shared" si="0"/>
        <v/>
      </c>
      <c r="E7" s="2" t="str">
        <f t="shared" si="1"/>
        <v/>
      </c>
    </row>
    <row r="8" spans="1:10">
      <c r="B8" s="2">
        <v>7034001</v>
      </c>
      <c r="C8" s="2" t="s">
        <v>30</v>
      </c>
      <c r="D8" s="2">
        <f t="shared" si="0"/>
        <v>4</v>
      </c>
      <c r="E8" s="2">
        <f t="shared" si="1"/>
        <v>3</v>
      </c>
      <c r="F8" s="2" t="str">
        <f>"Assets/Game/Textures/Hero/"&amp;B8&amp;".png"</f>
        <v>Assets/Game/Textures/Hero/7034001.png</v>
      </c>
      <c r="H8" s="2" t="b">
        <v>1</v>
      </c>
    </row>
    <row r="9" spans="1:10">
      <c r="B9" s="2">
        <v>7034002</v>
      </c>
      <c r="C9" s="2" t="s">
        <v>31</v>
      </c>
      <c r="D9" s="2">
        <f t="shared" si="0"/>
        <v>4</v>
      </c>
      <c r="E9" s="2">
        <f t="shared" si="1"/>
        <v>3</v>
      </c>
      <c r="F9" s="2" t="str">
        <f>"Assets/Game/Textures/Hero/"&amp;B9&amp;".png"</f>
        <v>Assets/Game/Textures/Hero/7034002.png</v>
      </c>
      <c r="H9" s="2" t="b">
        <v>1</v>
      </c>
    </row>
    <row r="10" spans="1:10">
      <c r="B10" s="2">
        <v>7034003</v>
      </c>
      <c r="C10" s="2" t="s">
        <v>32</v>
      </c>
      <c r="D10" s="2">
        <f t="shared" si="0"/>
        <v>4</v>
      </c>
      <c r="E10" s="2">
        <f t="shared" si="1"/>
        <v>3</v>
      </c>
      <c r="F10" s="2" t="str">
        <f>"Assets/Game/Textures/Hero/"&amp;B10&amp;".png"</f>
        <v>Assets/Game/Textures/Hero/7034003.png</v>
      </c>
      <c r="H10" s="2" t="b">
        <v>1</v>
      </c>
    </row>
    <row r="11" spans="1:10">
      <c r="D11" s="2" t="str">
        <f t="shared" si="0"/>
        <v/>
      </c>
      <c r="E11" s="2" t="str">
        <f t="shared" si="1"/>
        <v/>
      </c>
    </row>
    <row r="12" spans="1:10">
      <c r="B12" s="2">
        <v>7044001</v>
      </c>
      <c r="C12" s="2" t="s">
        <v>33</v>
      </c>
      <c r="D12" s="2">
        <f t="shared" si="0"/>
        <v>4</v>
      </c>
      <c r="E12" s="2">
        <f t="shared" si="1"/>
        <v>4</v>
      </c>
      <c r="F12" s="2" t="str">
        <f>"Assets/Game/Textures/Hero/"&amp;B12&amp;".png"</f>
        <v>Assets/Game/Textures/Hero/7044001.png</v>
      </c>
      <c r="H12" s="2" t="b">
        <v>1</v>
      </c>
    </row>
    <row r="13" spans="1:10">
      <c r="B13" s="2">
        <v>7044002</v>
      </c>
      <c r="C13" s="2" t="s">
        <v>34</v>
      </c>
      <c r="D13" s="2">
        <f t="shared" si="0"/>
        <v>4</v>
      </c>
      <c r="E13" s="2">
        <f t="shared" si="1"/>
        <v>4</v>
      </c>
      <c r="F13" s="2" t="str">
        <f>"Assets/Game/Textures/Hero/"&amp;B13&amp;".png"</f>
        <v>Assets/Game/Textures/Hero/7044002.png</v>
      </c>
      <c r="H13" s="2" t="b">
        <v>1</v>
      </c>
    </row>
    <row r="14" spans="1:10">
      <c r="B14" s="2">
        <v>7044003</v>
      </c>
      <c r="C14" s="2" t="s">
        <v>35</v>
      </c>
      <c r="D14" s="2">
        <f t="shared" si="0"/>
        <v>4</v>
      </c>
      <c r="E14" s="2">
        <f t="shared" si="1"/>
        <v>4</v>
      </c>
      <c r="F14" s="2" t="str">
        <f>"Assets/Game/Textures/Hero/"&amp;B14&amp;".png"</f>
        <v>Assets/Game/Textures/Hero/7044003.png</v>
      </c>
      <c r="H14" s="2" t="b">
        <v>1</v>
      </c>
    </row>
  </sheetData>
  <autoFilter xmlns:etc="http://www.wps.cn/officeDocument/2017/etCustomData" ref="A3:C10" etc:filterBottomFollowUsedRange="0">
    <extLst/>
  </autoFilter>
  <conditionalFormatting sqref="D3">
    <cfRule type="duplicateValues" dxfId="0" priority="1"/>
  </conditionalFormatting>
  <conditionalFormatting sqref="B1:B3 B6:B1048576">
    <cfRule type="duplicateValues" dxfId="0" priority="9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2026-02-15T06:20:21Z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