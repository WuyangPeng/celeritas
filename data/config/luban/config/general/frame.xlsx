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Item!$A$3:$C$11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<sst xmlns="http://schemas.openxmlformats.org/spreadsheetml/2006/main" count="39" uniqueCount="36">
  <si>
    <t>##var</t>
  </si>
  <si>
    <t>item_template_id</t>
  </si>
  <si>
    <t>#name</t>
  </si>
  <si>
    <t>quality</t>
  </si>
  <si>
    <t>type</t>
  </si>
  <si>
    <t>icon_res</t>
  </si>
  <si>
    <t>full_res</t>
  </si>
  <si>
    <t>hidden</t>
  </si>
  <si>
    <t>is_open</t>
  </si>
  <si>
    <t>desc</t>
  </si>
  <si>
    <t>attribute</t>
  </si>
  <si>
    <t>##type</t>
  </si>
  <si>
    <t>int</t>
  </si>
  <si>
    <t>quality_type</t>
  </si>
  <si>
    <t>avatar_type</t>
  </si>
  <si>
    <t>string</t>
  </si>
  <si>
    <t>bool</t>
  </si>
  <si>
    <t>list#sep=|,attribute_bonus</t>
  </si>
  <si>
    <t>##</t>
  </si>
  <si>
    <t>头像框编号</t>
  </si>
  <si>
    <t>物品名称</t>
  </si>
  <si>
    <t>品质</t>
  </si>
  <si>
    <t>类型</t>
  </si>
  <si>
    <t>小图资源路径</t>
  </si>
  <si>
    <t>详情时的资源路径</t>
  </si>
  <si>
    <t>未解锁时是否在列表中可见</t>
  </si>
  <si>
    <t>头像是否开放</t>
  </si>
  <si>
    <t>获取途径描述文案</t>
  </si>
  <si>
    <t>属性加成</t>
  </si>
  <si>
    <t>默认头像框</t>
  </si>
  <si>
    <t>头像框-白</t>
  </si>
  <si>
    <t>头像框-绿</t>
  </si>
  <si>
    <t>头像框-蓝</t>
  </si>
  <si>
    <t>头像框-紫</t>
  </si>
  <si>
    <t>头像框-橙</t>
  </si>
  <si>
    <t>头像框-红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</si>
</sst>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K10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B4" sqref="B4"/>
    </sheetView>
  </sheetViews>
  <sheetFormatPr defaultColWidth="9" defaultRowHeight="16.5"/>
  <cols>
    <col min="1" max="1" width="32.8833333333333" style="2" customWidth="1"/>
    <col min="2" max="2" width="18.125" style="2" customWidth="1"/>
    <col min="3" max="3" width="29.75" style="2" customWidth="1"/>
    <col min="4" max="4" width="12.75" style="2" customWidth="1"/>
    <col min="5" max="5" width="12.125" style="2" customWidth="1"/>
    <col min="6" max="6" width="37.25" style="2" customWidth="1"/>
    <col min="7" max="7" width="17.125" style="2" customWidth="1"/>
    <col min="8" max="9" width="25.375" style="2" customWidth="1"/>
    <col min="10" max="10" width="17.125" style="2" customWidth="1"/>
    <col min="11" max="11" width="27.125" style="2" customWidth="1"/>
    <col min="12" max="16384" width="9" style="2"/>
  </cols>
  <sheetData>
    <row r="1" s="1" customForma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="1" customFormat="1" spans="1:11">
      <c r="A2" s="1" t="s">
        <v>11</v>
      </c>
      <c r="B2" s="1" t="s">
        <v>12</v>
      </c>
      <c r="D2" s="1" t="s">
        <v>13</v>
      </c>
      <c r="E2" s="1" t="s">
        <v>14</v>
      </c>
      <c r="F2" s="1" t="s">
        <v>15</v>
      </c>
      <c r="G2" s="1" t="s">
        <v>15</v>
      </c>
      <c r="H2" s="1" t="s">
        <v>16</v>
      </c>
      <c r="I2" s="1" t="s">
        <v>16</v>
      </c>
      <c r="J2" s="1" t="s">
        <v>15</v>
      </c>
      <c r="K2" s="1" t="s">
        <v>17</v>
      </c>
    </row>
    <row r="3" s="1" customFormat="1" ht="203.1" customHeight="1" spans="1:11">
      <c r="A3" s="1" t="s">
        <v>18</v>
      </c>
      <c r="B3" s="1" t="s">
        <v>19</v>
      </c>
      <c r="C3" s="1" t="s">
        <v>20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27</v>
      </c>
      <c r="K3" s="1" t="s">
        <v>28</v>
      </c>
    </row>
    <row r="4" spans="1:11">
      <c r="B4" s="2">
        <v>5011001</v>
      </c>
      <c r="C4" s="2" t="s">
        <v>29</v>
      </c>
      <c r="D4" s="2">
        <f t="shared" ref="D4:D10" si="0">IF(B4="","",MOD(INT(B4/1000),10))</f>
        <v>1</v>
      </c>
      <c r="E4" s="2">
        <f t="shared" ref="E4:E10" si="1">IF(B4="","",MOD(INT(B4/10000),10))</f>
        <v>1</v>
      </c>
      <c r="F4" s="2" t="str">
        <f>"Assets/Game/Textures/Frame/"&amp;B4&amp;".png"</f>
        <v>Assets/Game/Textures/Frame/5011001.png</v>
      </c>
      <c r="H4" s="2" t="b">
        <v>1</v>
      </c>
      <c r="I4" s="2" t="b">
        <v>1</v>
      </c>
    </row>
    <row r="5" spans="1:11">
      <c r="B5" s="2">
        <v>5011002</v>
      </c>
      <c r="C5" s="2" t="s">
        <v>30</v>
      </c>
      <c r="D5" s="2">
        <f t="shared" si="0"/>
        <v>1</v>
      </c>
      <c r="E5" s="2">
        <f t="shared" si="1"/>
        <v>1</v>
      </c>
      <c r="F5" s="2" t="str">
        <f t="shared" ref="F5:F10" si="2">"Assets/Game/Textures/Frame/"&amp;B5&amp;".png"</f>
        <v>Assets/Game/Textures/Frame/5011002.png</v>
      </c>
      <c r="H5" s="2" t="b">
        <v>1</v>
      </c>
      <c r="I5" s="2" t="b">
        <v>1</v>
      </c>
    </row>
    <row r="6" spans="1:11">
      <c r="B6" s="2">
        <v>5011003</v>
      </c>
      <c r="C6" s="2" t="s">
        <v>31</v>
      </c>
      <c r="D6" s="2">
        <f t="shared" si="0"/>
        <v>1</v>
      </c>
      <c r="E6" s="2">
        <f t="shared" si="1"/>
        <v>1</v>
      </c>
      <c r="F6" s="2" t="str">
        <f t="shared" si="2"/>
        <v>Assets/Game/Textures/Frame/5011003.png</v>
      </c>
      <c r="H6" s="2" t="b">
        <v>1</v>
      </c>
      <c r="I6" s="2" t="b">
        <v>1</v>
      </c>
    </row>
    <row r="7" spans="1:11">
      <c r="B7" s="2">
        <v>5011004</v>
      </c>
      <c r="C7" s="2" t="s">
        <v>32</v>
      </c>
      <c r="D7" s="2">
        <f t="shared" si="0"/>
        <v>1</v>
      </c>
      <c r="E7" s="2">
        <f t="shared" si="1"/>
        <v>1</v>
      </c>
      <c r="F7" s="2" t="str">
        <f t="shared" si="2"/>
        <v>Assets/Game/Textures/Frame/5011004.png</v>
      </c>
      <c r="H7" s="2" t="b">
        <v>1</v>
      </c>
      <c r="I7" s="2" t="b">
        <v>1</v>
      </c>
    </row>
    <row r="8" spans="1:11">
      <c r="B8" s="2">
        <v>5011005</v>
      </c>
      <c r="C8" s="2" t="s">
        <v>33</v>
      </c>
      <c r="D8" s="2">
        <f t="shared" si="0"/>
        <v>1</v>
      </c>
      <c r="E8" s="2">
        <f t="shared" si="1"/>
        <v>1</v>
      </c>
      <c r="F8" s="2" t="str">
        <f t="shared" si="2"/>
        <v>Assets/Game/Textures/Frame/5011005.png</v>
      </c>
      <c r="H8" s="2" t="b">
        <v>1</v>
      </c>
      <c r="I8" s="2" t="b">
        <v>1</v>
      </c>
    </row>
    <row r="9" spans="1:11">
      <c r="B9" s="2">
        <v>5011006</v>
      </c>
      <c r="C9" s="2" t="s">
        <v>34</v>
      </c>
      <c r="D9" s="2">
        <f t="shared" si="0"/>
        <v>1</v>
      </c>
      <c r="E9" s="2">
        <f t="shared" si="1"/>
        <v>1</v>
      </c>
      <c r="F9" s="2" t="str">
        <f t="shared" si="2"/>
        <v>Assets/Game/Textures/Frame/5011006.png</v>
      </c>
      <c r="H9" s="2" t="b">
        <v>1</v>
      </c>
      <c r="I9" s="2" t="b">
        <v>1</v>
      </c>
    </row>
    <row r="10" spans="1:11">
      <c r="B10" s="2">
        <v>5011007</v>
      </c>
      <c r="C10" s="2" t="s">
        <v>35</v>
      </c>
      <c r="D10" s="2">
        <f t="shared" si="0"/>
        <v>1</v>
      </c>
      <c r="E10" s="2">
        <f t="shared" si="1"/>
        <v>1</v>
      </c>
      <c r="F10" s="2" t="str">
        <f t="shared" si="2"/>
        <v>Assets/Game/Textures/Frame/5011007.png</v>
      </c>
      <c r="H10" s="2" t="b">
        <v>1</v>
      </c>
      <c r="I10" s="2" t="b">
        <v>1</v>
      </c>
    </row>
  </sheetData>
  <autoFilter xmlns:etc="http://www.wps.cn/officeDocument/2017/etCustomData" ref="A3:C11" etc:filterBottomFollowUsedRange="0">
    <extLst/>
  </autoFilter>
  <conditionalFormatting sqref="D3">
    <cfRule type="duplicateValues" dxfId="0" priority="2"/>
  </conditionalFormatting>
  <conditionalFormatting sqref="B$1:B$1048576">
    <cfRule type="duplicateValues" dxfId="0" priority="96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2026-02-20T14:29:27Z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