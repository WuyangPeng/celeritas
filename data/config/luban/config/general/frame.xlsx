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<sst xmlns="http://schemas.openxmlformats.org/spreadsheetml/2006/main" count="39" uniqueCount="36">
  <si>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</si>
  <si>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</si>
  <si>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</si>
  <si>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</si>
  <si>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</si>
  <si>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</si>
  <si>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</si>
  <si>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</si>
  <si>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</si>
  <si>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</si>
  <si>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</si>
  <si>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</si>
  <si>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</si>
  <si>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</si>
  <si>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</si>
  <si>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</si>
  <si>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</si>
  <si>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</si>
  <si>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</si>
  <si>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头像框编号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</si>
  <si>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</si>
  <si>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</si>
  <si>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</si>
  <si>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</si>
  <si>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</si>
  <si>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</si>
  <si>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头像是否开放</t>
  </si>
  <si>
    <t>获取途径描述文案</t>
  </si>
  <si>
    <t>属性加成</t>
  </si>
  <si>
    <t>默认头像框</t>
  </si>
  <si>
    <t>白</t>
  </si>
  <si>
    <t>绿</t>
  </si>
  <si>
    <t>蓝</t>
  </si>
  <si>
    <t>紫</t>
  </si>
  <si>
    <t>橙</t>
  </si>
  <si>
    <t>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</si>
</sst>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0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I4" sqref="I4:I10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5011001</v>
      </c>
      <c r="C4" s="2" t="s">
        <v>29</v>
      </c>
      <c r="D4" s="2">
        <f>IF(B4="","",MOD(INT(B4/1000),10))</f>
        <v>1</v>
      </c>
      <c r="E4" s="2">
        <f>IF(B4="","",MOD(INT(B4/10000),10))</f>
        <v>1</v>
      </c>
      <c r="F4" s="2" t="str">
        <f>"Assets/Game/Textures/Frame/"&amp;B4&amp;".png"</f>
        <v>Assets/Game/Textures/Frame/5011001.png</v>
      </c>
      <c r="H4" s="2" t="b">
        <v>1</v>
      </c>
      <c r="I4" s="2" t="b">
        <v>1</v>
      </c>
    </row>
    <row r="5" spans="1:11">
      <c r="B5" s="2">
        <v>5011002</v>
      </c>
      <c r="C5" s="2" t="s">
        <v>30</v>
      </c>
      <c r="D5" s="2">
        <f>IF(B5="","",MOD(INT(B5/1000),10))</f>
        <v>1</v>
      </c>
      <c r="E5" s="2">
        <f>IF(B5="","",MOD(INT(B5/10000),10))</f>
        <v>1</v>
      </c>
      <c r="F5" s="2" t="str">
        <f t="shared" ref="F5:F10" si="0">"Assets/Game/Textures/Frame/"&amp;B5&amp;".png"</f>
        <v>Assets/Game/Textures/Frame/5011002.png</v>
      </c>
      <c r="H5" s="2" t="b">
        <v>1</v>
      </c>
      <c r="I5" s="2" t="b">
        <v>1</v>
      </c>
    </row>
    <row r="6" spans="1:11">
      <c r="B6" s="2">
        <v>5011003</v>
      </c>
      <c r="C6" s="2" t="s">
        <v>31</v>
      </c>
      <c r="D6" s="2">
        <f>IF(B6="","",MOD(INT(B6/1000),10))</f>
        <v>1</v>
      </c>
      <c r="E6" s="2">
        <f>IF(B6="","",MOD(INT(B6/10000),10))</f>
        <v>1</v>
      </c>
      <c r="F6" s="2" t="str">
        <f t="shared" si="0"/>
        <v>Assets/Game/Textures/Frame/5011003.png</v>
      </c>
      <c r="H6" s="2" t="b">
        <v>1</v>
      </c>
      <c r="I6" s="2" t="b">
        <v>1</v>
      </c>
    </row>
    <row r="7" spans="1:11">
      <c r="B7" s="2">
        <v>5011004</v>
      </c>
      <c r="C7" s="2" t="s">
        <v>32</v>
      </c>
      <c r="D7" s="2">
        <f>IF(B7="","",MOD(INT(B7/1000),10))</f>
        <v>1</v>
      </c>
      <c r="E7" s="2">
        <f>IF(B7="","",MOD(INT(B7/10000),10))</f>
        <v>1</v>
      </c>
      <c r="F7" s="2" t="str">
        <f t="shared" si="0"/>
        <v>Assets/Game/Textures/Frame/5011004.png</v>
      </c>
      <c r="H7" s="2" t="b">
        <v>1</v>
      </c>
      <c r="I7" s="2" t="b">
        <v>1</v>
      </c>
    </row>
    <row r="8" spans="1:11">
      <c r="B8" s="2">
        <v>5011005</v>
      </c>
      <c r="C8" s="2" t="s">
        <v>33</v>
      </c>
      <c r="D8" s="2">
        <f>IF(B8="","",MOD(INT(B8/1000),10))</f>
        <v>1</v>
      </c>
      <c r="E8" s="2">
        <f>IF(B8="","",MOD(INT(B8/10000),10))</f>
        <v>1</v>
      </c>
      <c r="F8" s="2" t="str">
        <f t="shared" si="0"/>
        <v>Assets/Game/Textures/Frame/5011005.png</v>
      </c>
      <c r="H8" s="2" t="b">
        <v>1</v>
      </c>
      <c r="I8" s="2" t="b">
        <v>1</v>
      </c>
    </row>
    <row r="9" spans="1:11">
      <c r="B9" s="2">
        <v>5011006</v>
      </c>
      <c r="C9" s="2" t="s">
        <v>34</v>
      </c>
      <c r="D9" s="2">
        <f>IF(B9="","",MOD(INT(B9/1000),10))</f>
        <v>1</v>
      </c>
      <c r="E9" s="2">
        <f>IF(B9="","",MOD(INT(B9/10000),10))</f>
        <v>1</v>
      </c>
      <c r="F9" s="2" t="str">
        <f t="shared" si="0"/>
        <v>Assets/Game/Textures/Frame/5011006.png</v>
      </c>
      <c r="H9" s="2" t="b">
        <v>1</v>
      </c>
      <c r="I9" s="2" t="b">
        <v>1</v>
      </c>
    </row>
    <row r="10" spans="1:11">
      <c r="B10" s="2">
        <v>5011007</v>
      </c>
      <c r="C10" s="2" t="s">
        <v>35</v>
      </c>
      <c r="D10" s="2">
        <f>IF(B10="","",MOD(INT(B10/1000),10))</f>
        <v>1</v>
      </c>
      <c r="E10" s="2">
        <f>IF(B10="","",MOD(INT(B10/10000),10))</f>
        <v>1</v>
      </c>
      <c r="F10" s="2" t="str">
        <f t="shared" si="0"/>
        <v>Assets/Game/Textures/Frame/5011007.png</v>
      </c>
      <c r="H10" s="2" t="b">
        <v>1</v>
      </c>
      <c r="I10" s="2" t="b">
        <v>1</v>
      </c>
    </row>
  </sheetData>
  <autoFilter xmlns:etc="http://www.wps.cn/officeDocument/2017/etCustomData" ref="A3:C11" etc:filterBottomFollowUsedRange="0">
    <extLst/>
  </autoFilter>
  <conditionalFormatting sqref="D3">
    <cfRule type="duplicateValues" dxfId="0" priority="2"/>
  </conditionalFormatting>
  <conditionalFormatting sqref="B$1:B$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2026-02-18T08:37:27Z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