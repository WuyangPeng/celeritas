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Item!$A$3:$C$13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<sst xmlns="http://schemas.openxmlformats.org/spreadsheetml/2006/main" count="39" uniqueCount="37">
  <si>
    <t>##var</t>
  </si>
  <si>
    <t>item_template_id</t>
  </si>
  <si>
    <t>#name</t>
  </si>
  <si>
    <t>quality</t>
  </si>
  <si>
    <t>type</t>
  </si>
  <si>
    <t>text</t>
  </si>
  <si>
    <t>hidden</t>
  </si>
  <si>
    <t>is_open</t>
  </si>
  <si>
    <t>desc</t>
  </si>
  <si>
    <t>attribute</t>
  </si>
  <si>
    <t>##type</t>
  </si>
  <si>
    <t>int</t>
  </si>
  <si>
    <t>quality_type</t>
  </si>
  <si>
    <t>avatar_type</t>
  </si>
  <si>
    <t>string</t>
  </si>
  <si>
    <t>bool</t>
  </si>
  <si>
    <t>list#sep=|,attribute_bonus</t>
  </si>
  <si>
    <t>##</t>
  </si>
  <si>
    <t>称号编号</t>
  </si>
  <si>
    <t>物品名称</t>
  </si>
  <si>
    <t>品质</t>
  </si>
  <si>
    <t>类型</t>
  </si>
  <si>
    <t>称号文本</t>
  </si>
  <si>
    <t>未解锁时是否在列表中可见</t>
  </si>
  <si>
    <t>称号是否开放</t>
  </si>
  <si>
    <t>获取途径描述文案</t>
  </si>
  <si>
    <t>属性加成</t>
  </si>
  <si>
    <t>从戎校尉</t>
  </si>
  <si>
    <t>讨逆先锋</t>
  </si>
  <si>
    <t>百战悍将</t>
  </si>
  <si>
    <t>持节偏军</t>
  </si>
  <si>
    <t>威武都督</t>
  </si>
  <si>
    <t>镇国大将军</t>
  </si>
  <si>
    <t>名震寰宇</t>
  </si>
  <si>
    <t>兵圣传人</t>
  </si>
  <si>
    <t>开国元勋</t>
  </si>
  <si>
    <t>千古战神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</si>
</sst>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J13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C13" sqref="C13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4" width="12.75" style="2" customWidth="1"/>
    <col min="5" max="5" width="12.125" style="2" customWidth="1"/>
    <col min="6" max="6" width="37.25" style="2" customWidth="1"/>
    <col min="7" max="8" width="25.375" style="2" customWidth="1"/>
    <col min="9" max="9" width="17.125" style="2" customWidth="1"/>
    <col min="10" max="10" width="27.125" style="2" customWidth="1"/>
    <col min="11" max="16384" width="9" style="2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="1" customFormat="1" spans="1:10">
      <c r="A2" s="1" t="s">
        <v>10</v>
      </c>
      <c r="B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15</v>
      </c>
      <c r="I2" s="1" t="s">
        <v>14</v>
      </c>
      <c r="J2" s="1" t="s">
        <v>16</v>
      </c>
    </row>
    <row r="3" s="1" customFormat="1" ht="203.1" customHeight="1" spans="1:10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spans="1:10">
      <c r="B4" s="2">
        <v>6011001</v>
      </c>
      <c r="C4" s="2" t="s">
        <v>27</v>
      </c>
      <c r="D4" s="2">
        <f>IF(B4="","",MOD(INT(B4/1000),10))</f>
        <v>1</v>
      </c>
      <c r="E4" s="2">
        <f>IF(B4="","",MOD(INT(B4/10000),10))</f>
        <v>1</v>
      </c>
      <c r="F4" s="2" t="str">
        <f>"Title."&amp;B4</f>
        <v>Title.6011001</v>
      </c>
      <c r="G4" s="2" t="b">
        <v>1</v>
      </c>
      <c r="H4" s="2" t="b">
        <v>1</v>
      </c>
    </row>
    <row r="5" spans="1:10">
      <c r="B5" s="2">
        <v>6011002</v>
      </c>
      <c r="C5" s="2" t="s">
        <v>28</v>
      </c>
      <c r="D5" s="2">
        <f>IF(B5="","",MOD(INT(B5/1000),10))</f>
        <v>1</v>
      </c>
      <c r="E5" s="2">
        <f>IF(B5="","",MOD(INT(B5/10000),10))</f>
        <v>1</v>
      </c>
      <c r="F5" s="2" t="str">
        <f t="shared" ref="F5:F13" si="0">"Title."&amp;B5</f>
        <v>Title.6011002</v>
      </c>
      <c r="G5" s="2" t="b">
        <v>1</v>
      </c>
      <c r="H5" s="2" t="b">
        <v>1</v>
      </c>
    </row>
    <row r="6" spans="1:10">
      <c r="B6" s="2">
        <v>6011003</v>
      </c>
      <c r="C6" s="2" t="s">
        <v>29</v>
      </c>
      <c r="D6" s="2">
        <f t="shared" ref="D6:D13" si="1">IF(B6="","",MOD(INT(B6/1000),10))</f>
        <v>1</v>
      </c>
      <c r="E6" s="2">
        <f t="shared" ref="E6:E13" si="2">IF(B6="","",MOD(INT(B6/10000),10))</f>
        <v>1</v>
      </c>
      <c r="F6" s="2" t="str">
        <f t="shared" si="0"/>
        <v>Title.6011003</v>
      </c>
      <c r="G6" s="2" t="b">
        <v>1</v>
      </c>
      <c r="H6" s="2" t="b">
        <v>1</v>
      </c>
    </row>
    <row r="7" spans="1:10">
      <c r="B7" s="2">
        <v>6011004</v>
      </c>
      <c r="C7" s="2" t="s">
        <v>30</v>
      </c>
      <c r="D7" s="2">
        <f t="shared" si="1"/>
        <v>1</v>
      </c>
      <c r="E7" s="2">
        <f t="shared" si="2"/>
        <v>1</v>
      </c>
      <c r="F7" s="2" t="str">
        <f t="shared" si="0"/>
        <v>Title.6011004</v>
      </c>
      <c r="G7" s="2" t="b">
        <v>1</v>
      </c>
      <c r="H7" s="2" t="b">
        <v>1</v>
      </c>
    </row>
    <row r="8" spans="1:10">
      <c r="B8" s="2">
        <v>6011005</v>
      </c>
      <c r="C8" s="2" t="s">
        <v>31</v>
      </c>
      <c r="D8" s="2">
        <f t="shared" si="1"/>
        <v>1</v>
      </c>
      <c r="E8" s="2">
        <f t="shared" si="2"/>
        <v>1</v>
      </c>
      <c r="F8" s="2" t="str">
        <f t="shared" si="0"/>
        <v>Title.6011005</v>
      </c>
      <c r="G8" s="2" t="b">
        <v>1</v>
      </c>
      <c r="H8" s="2" t="b">
        <v>1</v>
      </c>
    </row>
    <row r="9" spans="1:10">
      <c r="B9" s="2">
        <v>6011006</v>
      </c>
      <c r="C9" s="2" t="s">
        <v>32</v>
      </c>
      <c r="D9" s="2">
        <f t="shared" si="1"/>
        <v>1</v>
      </c>
      <c r="E9" s="2">
        <f t="shared" si="2"/>
        <v>1</v>
      </c>
      <c r="F9" s="2" t="str">
        <f t="shared" si="0"/>
        <v>Title.6011006</v>
      </c>
      <c r="G9" s="2" t="b">
        <v>1</v>
      </c>
      <c r="H9" s="2" t="b">
        <v>1</v>
      </c>
    </row>
    <row r="10" spans="1:10">
      <c r="B10" s="2">
        <v>6011007</v>
      </c>
      <c r="C10" s="2" t="s">
        <v>33</v>
      </c>
      <c r="D10" s="2">
        <f t="shared" si="1"/>
        <v>1</v>
      </c>
      <c r="E10" s="2">
        <f t="shared" si="2"/>
        <v>1</v>
      </c>
      <c r="F10" s="2" t="str">
        <f t="shared" si="0"/>
        <v>Title.6011007</v>
      </c>
      <c r="G10" s="2" t="b">
        <v>1</v>
      </c>
      <c r="H10" s="2" t="b">
        <v>1</v>
      </c>
    </row>
    <row r="11" spans="1:10">
      <c r="B11" s="2">
        <v>6011008</v>
      </c>
      <c r="C11" s="2" t="s">
        <v>34</v>
      </c>
      <c r="D11" s="2">
        <f t="shared" si="1"/>
        <v>1</v>
      </c>
      <c r="E11" s="2">
        <f t="shared" si="2"/>
        <v>1</v>
      </c>
      <c r="F11" s="2" t="str">
        <f t="shared" si="0"/>
        <v>Title.6011008</v>
      </c>
      <c r="G11" s="2" t="b">
        <v>1</v>
      </c>
      <c r="H11" s="2" t="b">
        <v>1</v>
      </c>
    </row>
    <row r="12" spans="1:10">
      <c r="B12" s="2">
        <v>6011009</v>
      </c>
      <c r="C12" s="2" t="s">
        <v>35</v>
      </c>
      <c r="D12" s="2">
        <f t="shared" si="1"/>
        <v>1</v>
      </c>
      <c r="E12" s="2">
        <f t="shared" si="2"/>
        <v>1</v>
      </c>
      <c r="F12" s="2" t="str">
        <f t="shared" si="0"/>
        <v>Title.6011009</v>
      </c>
      <c r="G12" s="2" t="b">
        <v>1</v>
      </c>
      <c r="H12" s="2" t="b">
        <v>1</v>
      </c>
    </row>
    <row r="13" spans="1:10">
      <c r="B13" s="2">
        <v>6011010</v>
      </c>
      <c r="C13" s="2" t="s">
        <v>36</v>
      </c>
      <c r="D13" s="2">
        <f t="shared" si="1"/>
        <v>1</v>
      </c>
      <c r="E13" s="2">
        <f t="shared" si="2"/>
        <v>1</v>
      </c>
      <c r="F13" s="2" t="str">
        <f t="shared" si="0"/>
        <v>Title.6011010</v>
      </c>
      <c r="G13" s="2" t="b">
        <v>1</v>
      </c>
      <c r="H13" s="2" t="b">
        <v>1</v>
      </c>
    </row>
  </sheetData>
  <autoFilter xmlns:etc="http://www.wps.cn/officeDocument/2017/etCustomData" ref="A3:C13" etc:filterBottomFollowUsedRange="0">
    <extLst/>
  </autoFilter>
  <conditionalFormatting sqref="D3">
    <cfRule type="duplicateValues" dxfId="0" priority="2"/>
  </conditionalFormatting>
  <conditionalFormatting sqref="B14:B16">
    <cfRule type="duplicateValues" dxfId="0" priority="1"/>
  </conditionalFormatting>
  <conditionalFormatting sqref="B1:B13 B17:B1048576">
    <cfRule type="duplicateValues" dxfId="0" priority="96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2026-03-01T14:03:30Z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