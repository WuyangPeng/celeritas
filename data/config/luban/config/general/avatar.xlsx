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##var</t>
        </is>
      </c>
      <c r="B1" s="2" t="inlineStr">
        <is>
          <t>item_template_id</t>
        </is>
      </c>
      <c r="C1" s="2" t="inlineStr">
        <is>
          <t>#name</t>
        </is>
      </c>
      <c r="D1" s="2" t="inlineStr">
        <is>
          <t>quality</t>
        </is>
      </c>
      <c r="E1" s="2" t="inlineStr">
        <is>
          <t>type</t>
        </is>
      </c>
      <c r="F1" s="2" t="inlineStr">
        <is>
          <t>icon_res</t>
        </is>
      </c>
      <c r="G1" s="2" t="inlineStr">
        <is>
          <t>full_res</t>
        </is>
      </c>
      <c r="H1" s="2" t="inlineStr">
        <is>
          <t>hidden</t>
        </is>
      </c>
      <c r="I1" s="2" t="inlineStr">
        <is>
          <t>is_open</t>
        </is>
      </c>
      <c r="J1" s="2" t="inlineStr">
        <is>
          <t>desc</t>
        </is>
      </c>
      <c r="K1" s="2" t="inlineStr">
        <is>
          <t>attribute</t>
        </is>
      </c>
    </row>
    <row r="2">
      <c r="A2" s="3" t="inlineStr">
        <is>
          <t>##type</t>
        </is>
      </c>
      <c r="B2" s="4" t="inlineStr">
        <is>
          <t>int</t>
        </is>
      </c>
      <c r="C2" s="4" t="inlineStr">
        <is>
          <t>string</t>
        </is>
      </c>
      <c r="D2" s="4" t="inlineStr">
        <is>
          <t>quality_type</t>
        </is>
      </c>
      <c r="E2" s="4" t="inlineStr">
        <is>
          <t>avatar_type</t>
        </is>
      </c>
      <c r="F2" s="4" t="inlineStr">
        <is>
          <t>string</t>
        </is>
      </c>
      <c r="G2" s="4" t="inlineStr">
        <is>
          <t>string</t>
        </is>
      </c>
      <c r="H2" s="4" t="inlineStr">
        <is>
          <t>bool</t>
        </is>
      </c>
      <c r="I2" s="4" t="inlineStr">
        <is>
          <t>bool</t>
        </is>
      </c>
      <c r="J2" s="4" t="inlineStr">
        <is>
          <t>string</t>
        </is>
      </c>
      <c r="K2" s="4" t="inlineStr">
        <is>
          <t>list#sep=|,attribute_bonus</t>
        </is>
      </c>
    </row>
    <row r="3">
      <c r="A3" s="5" t="inlineStr">
        <is>
          <t>##</t>
        </is>
      </c>
      <c r="B3" s="6" t="inlineStr">
        <is>
          <t>头像编号</t>
        </is>
      </c>
      <c r="C3" s="6" t="inlineStr">
        <is>
          <t>头像名称</t>
        </is>
      </c>
      <c r="D3" s="6" t="inlineStr">
        <is>
          <t>品质</t>
        </is>
      </c>
      <c r="E3" s="6" t="inlineStr">
        <is>
          <t>类型</t>
        </is>
      </c>
      <c r="F3" s="6" t="inlineStr">
        <is>
          <t>小图资源路径</t>
        </is>
      </c>
      <c r="G3" s="6" t="inlineStr">
        <is>
          <t>详情时的资源路径</t>
        </is>
      </c>
      <c r="H3" s="6" t="inlineStr">
        <is>
          <t>未解锁时是否在列表中可见</t>
        </is>
      </c>
      <c r="I3" s="6" t="inlineStr">
        <is>
          <t>头像是否开放</t>
        </is>
      </c>
      <c r="J3" s="6" t="inlineStr">
        <is>
          <t>获取途径描述文案</t>
        </is>
      </c>
      <c r="K3" s="6" t="inlineStr">
        <is>
          <t>属性加成</t>
        </is>
      </c>
    </row>
    <row r="4">
      <c r="A4" s="7" t="inlineStr">
        <is>
          <t># 普通头像 (Common Avatars)</t>
        </is>
      </c>
    </row>
    <row r="5">
      <c r="A5" s="7" t="n"/>
      <c r="B5" s="7" t="n">
        <v>4011001</v>
      </c>
      <c r="C5" s="7" t="inlineStr">
        <is>
          <t>默认头像</t>
        </is>
      </c>
      <c t="str" r="D5" s="7">
        <f>IF(B5="","",MOD(INT(B5/1000),10))</f>
        <v>1</v>
      </c>
      <c t="str" r="E5" s="7">
        <f>IF(B5="","",MOD(INT(B5/10000),10))</f>
        <v>1</v>
      </c>
      <c r="F5" s="7">
        <f>"Assets/Game/Textures/Avatar/"&amp;B5&amp;".png"</f>
        <v/>
      </c>
      <c r="G5" s="7" t="n"/>
      <c r="H5" s="7" t="b">
        <v>1</v>
      </c>
      <c r="I5" s="7" t="b">
        <v>1</v>
      </c>
      <c r="J5" s="7" t="n"/>
      <c r="K5" s="7" t="n"/>
    </row>
    <row r="7">
      <c r="A7" s="7" t="inlineStr">
        <is>
          <t># 帝王头像 (Emperor Avatars)</t>
        </is>
      </c>
    </row>
    <row r="8">
      <c r="A8" s="7" t="n"/>
      <c r="B8" s="7" t="n">
        <v>4024001</v>
      </c>
      <c r="C8" s="7" t="inlineStr">
        <is>
          <t>头像-嬴政</t>
        </is>
      </c>
      <c t="str" r="D8" s="7">
        <f>IF(B8="","",MOD(INT(B8/1000),10))</f>
        <v>4</v>
      </c>
      <c t="str" r="E8" s="7">
        <f>IF(B8="","",MOD(INT(B8/10000),10))</f>
        <v>2</v>
      </c>
      <c r="F8" s="7">
        <f>"Assets/Game/Textures/Avatar/"&amp;B8&amp;".png"</f>
        <v/>
      </c>
      <c r="G8" s="7" t="n"/>
      <c r="H8" s="7" t="b">
        <v>1</v>
      </c>
      <c r="I8" s="7" t="b">
        <v>1</v>
      </c>
      <c r="J8" s="7" t="n"/>
      <c r="K8" s="7" t="n"/>
    </row>
    <row r="9">
      <c r="A9" s="7" t="n"/>
      <c r="B9" s="7" t="n">
        <v>4024002</v>
      </c>
      <c r="C9" s="7" t="inlineStr">
        <is>
          <t>头像-刘彻</t>
        </is>
      </c>
      <c t="str" r="D9" s="7">
        <f>IF(B9="","",MOD(INT(B9/1000),10))</f>
        <v>4</v>
      </c>
      <c t="str" r="E9" s="7">
        <f>IF(B9="","",MOD(INT(B9/10000),10))</f>
        <v>2</v>
      </c>
      <c r="F9" s="7">
        <f>"Assets/Game/Textures/Avatar/"&amp;B9&amp;".png"</f>
        <v/>
      </c>
      <c r="G9" s="7" t="n"/>
      <c r="H9" s="7" t="b">
        <v>1</v>
      </c>
      <c r="I9" s="7" t="b">
        <v>1</v>
      </c>
      <c r="J9" s="7" t="n"/>
      <c r="K9" s="7" t="n"/>
    </row>
    <row r="10">
      <c r="A10" s="7" t="n"/>
      <c r="B10" s="7" t="n">
        <v>4024003</v>
      </c>
      <c r="C10" s="7" t="inlineStr">
        <is>
          <t>头像-李世民</t>
        </is>
      </c>
      <c t="str" r="D10" s="7">
        <f>IF(B10="","",MOD(INT(B10/1000),10))</f>
        <v>4</v>
      </c>
      <c t="str" r="E10" s="7">
        <f>IF(B10="","",MOD(INT(B10/10000),10))</f>
        <v>2</v>
      </c>
      <c r="F10" s="7">
        <f>"Assets/Game/Textures/Avatar/"&amp;B10&amp;".png"</f>
        <v/>
      </c>
      <c r="G10" s="7" t="n"/>
      <c r="H10" s="7" t="b">
        <v>1</v>
      </c>
      <c r="I10" s="7" t="b">
        <v>1</v>
      </c>
      <c r="J10" s="7" t="n"/>
      <c r="K10" s="7" t="n"/>
    </row>
    <row r="12">
      <c r="A12" s="7" t="inlineStr">
        <is>
          <t># 后宫头像 (Harem Avatars)</t>
        </is>
      </c>
    </row>
    <row r="13">
      <c r="A13" s="7" t="n"/>
      <c r="B13" s="7" t="n">
        <v>4034001</v>
      </c>
      <c r="C13" s="7" t="inlineStr">
        <is>
          <t>头像-赵飞燕</t>
        </is>
      </c>
      <c t="str" r="D13" s="7">
        <f>IF(B13="","",MOD(INT(B13/1000),10))</f>
        <v>4</v>
      </c>
      <c t="str" r="E13" s="7">
        <f>IF(B13="","",MOD(INT(B13/10000),10))</f>
        <v>3</v>
      </c>
      <c r="F13" s="7">
        <f>"Assets/Game/Textures/Avatar/"&amp;B13&amp;".png"</f>
        <v/>
      </c>
      <c r="G13" s="7" t="n"/>
      <c r="H13" s="7" t="b">
        <v>1</v>
      </c>
      <c r="I13" s="7" t="b">
        <v>1</v>
      </c>
      <c r="J13" s="7" t="n"/>
      <c r="K13" s="7" t="n"/>
    </row>
    <row r="14">
      <c r="A14" s="7" t="n"/>
      <c r="B14" s="7" t="n">
        <v>4034002</v>
      </c>
      <c r="C14" s="7" t="inlineStr">
        <is>
          <t>头像-蔡文姬</t>
        </is>
      </c>
      <c t="str" r="D14" s="7">
        <f>IF(B14="","",MOD(INT(B14/1000),10))</f>
        <v>4</v>
      </c>
      <c t="str" r="E14" s="7">
        <f>IF(B14="","",MOD(INT(B14/10000),10))</f>
        <v>3</v>
      </c>
      <c r="F14" s="7">
        <f>"Assets/Game/Textures/Avatar/"&amp;B14&amp;".png"</f>
        <v/>
      </c>
      <c r="G14" s="7" t="n"/>
      <c r="H14" s="7" t="b">
        <v>1</v>
      </c>
      <c r="I14" s="7" t="b">
        <v>1</v>
      </c>
      <c r="J14" s="7" t="n"/>
      <c r="K14" s="7" t="n"/>
    </row>
    <row r="15">
      <c r="A15" s="7" t="n"/>
      <c r="B15" s="7" t="n">
        <v>4034003</v>
      </c>
      <c r="C15" s="7" t="inlineStr">
        <is>
          <t>头像-杨玉环</t>
        </is>
      </c>
      <c t="str" r="D15" s="7">
        <f>IF(B15="","",MOD(INT(B15/1000),10))</f>
        <v>4</v>
      </c>
      <c t="str" r="E15" s="7">
        <f>IF(B15="","",MOD(INT(B15/10000),10))</f>
        <v>3</v>
      </c>
      <c r="F15" s="7">
        <f>"Assets/Game/Textures/Avatar/"&amp;B15&amp;".png"</f>
        <v/>
      </c>
      <c r="G15" s="7" t="n"/>
      <c r="H15" s="7" t="b">
        <v>1</v>
      </c>
      <c r="I15" s="7" t="b">
        <v>1</v>
      </c>
      <c r="J15" s="7" t="n"/>
      <c r="K15" s="7" t="n"/>
    </row>
    <row r="17">
      <c r="A17" s="7" t="inlineStr">
        <is>
          <t># 名臣头像 (Minister Avatars)</t>
        </is>
      </c>
    </row>
    <row r="18">
      <c r="A18" s="7" t="n"/>
      <c r="B18" s="7" t="n">
        <v>4044001</v>
      </c>
      <c r="C18" s="7" t="inlineStr">
        <is>
          <t>头像-白起</t>
        </is>
      </c>
      <c t="str" r="D18" s="7">
        <f>IF(B18="","",MOD(INT(B18/1000),10))</f>
        <v>4</v>
      </c>
      <c t="str" r="E18" s="7">
        <f>IF(B18="","",MOD(INT(B18/10000),10))</f>
        <v>4</v>
      </c>
      <c r="F18" s="7">
        <f>"Assets/Game/Textures/Avatar/"&amp;B18&amp;".png"</f>
        <v/>
      </c>
      <c r="G18" s="7" t="n"/>
      <c r="H18" s="7" t="b">
        <v>1</v>
      </c>
      <c r="I18" s="7" t="b">
        <v>1</v>
      </c>
      <c r="J18" s="7" t="n"/>
      <c r="K18" s="7" t="n"/>
    </row>
    <row r="19">
      <c r="A19" s="7" t="n"/>
      <c r="B19" s="7" t="n">
        <v>4044002</v>
      </c>
      <c r="C19" s="7" t="inlineStr">
        <is>
          <t>头像-张骞</t>
        </is>
      </c>
      <c t="str" r="D19" s="7">
        <f>IF(B19="","",MOD(INT(B19/1000),10))</f>
        <v>4</v>
      </c>
      <c t="str" r="E19" s="7">
        <f>IF(B19="","",MOD(INT(B19/10000),10))</f>
        <v>4</v>
      </c>
      <c r="F19" s="7">
        <f>"Assets/Game/Textures/Avatar/"&amp;B19&amp;".png"</f>
        <v/>
      </c>
      <c r="G19" s="7" t="n"/>
      <c r="H19" s="7" t="b">
        <v>1</v>
      </c>
      <c r="I19" s="7" t="b">
        <v>1</v>
      </c>
      <c r="J19" s="7" t="n"/>
      <c r="K19" s="7" t="n"/>
    </row>
    <row r="20">
      <c r="A20" s="7" t="n"/>
      <c r="B20" s="7" t="n">
        <v>4044003</v>
      </c>
      <c r="C20" s="7" t="inlineStr">
        <is>
          <t>头像-房玄龄</t>
        </is>
      </c>
      <c t="str" r="D20" s="7">
        <f>IF(B20="","",MOD(INT(B20/1000),10))</f>
        <v>4</v>
      </c>
      <c t="str" r="E20" s="7">
        <f>IF(B20="","",MOD(INT(B20/10000),10))</f>
        <v>4</v>
      </c>
      <c r="F20" s="7">
        <f>"Assets/Game/Textures/Avatar/"&amp;B20&amp;".png"</f>
        <v/>
      </c>
      <c r="G20" s="7" t="n"/>
      <c r="H20" s="7" t="b">
        <v>1</v>
      </c>
      <c r="I20" s="7" t="b">
        <v>1</v>
      </c>
      <c r="J20" s="7" t="n"/>
      <c r="K2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