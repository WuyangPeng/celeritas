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Building" sheetId="1" r:id="rId1"/>
  </sheets>
  <definedNames>
    <definedName name="_xlnm._FilterDatabase" localSheetId="0" hidden="1">Building!$A$3:$C$10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<sst xmlns="http://schemas.openxmlformats.org/spreadsheetml/2006/main" count="46" uniqueCount="40">
  <si>
    <t>##var</t>
  </si>
  <si>
    <t>item_template_id</t>
  </si>
  <si>
    <t>#name</t>
  </si>
  <si>
    <t>quality</t>
  </si>
  <si>
    <t>type</t>
  </si>
  <si>
    <t>produce_item</t>
  </si>
  <si>
    <t>produce_base</t>
  </si>
  <si>
    <t xml:space="preserve">produce_multiplying 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</si>
  <si>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</si>
  <si>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</si>
  <si>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</si>
  <si>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</si>
  <si>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</si>
  <si>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</si>
  <si>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</si>
  <si>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</si>
  <si>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</si>
  <si>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building_type</t>
  </si>
  <si>
    <t>string</t>
  </si>
  <si>
    <t>bool</t>
  </si>
  <si>
    <t>list#sep=|,attribute_bonus</t>
  </si>
  <si>
    <t>##</t>
  </si>
  <si>
    <t>建筑编号</t>
  </si>
  <si>
    <t>建筑名称</t>
  </si>
  <si>
    <t>品质</t>
  </si>
  <si>
    <t>类型</t>
  </si>
  <si>
    <t>产出物品</t>
  </si>
  <si>
    <t>产出基础值</t>
  </si>
  <si>
    <t>产出倍率</t>
  </si>
  <si>
    <t>小图资源路径</t>
  </si>
  <si>
    <t>详情时的资源路径</t>
  </si>
  <si>
    <t>未解锁时是否在列表中可见</t>
  </si>
  <si>
    <t>建筑是否开放</t>
  </si>
  <si>
    <t>获取途径描述文案</t>
  </si>
  <si>
    <t>属性加成</t>
  </si>
  <si>
    <t>农田</t>
  </si>
  <si>
    <t>伐木场</t>
  </si>
  <si>
    <t>采石场</t>
  </si>
  <si>
    <t>矿场</t>
  </si>
  <si>
    <t>民居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</si>
</sst>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N8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I10" sqref="I10"/>
    </sheetView>
  </sheetViews>
  <sheetFormatPr defaultColWidth="9" defaultRowHeight="16.5" outlineLevelRow="7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8" width="12.125" style="2" customWidth="1"/>
    <col min="9" max="9" width="37.25" style="2" customWidth="1"/>
    <col min="10" max="10" width="17.125" style="2" customWidth="1"/>
    <col min="11" max="12" width="25.375" style="2" customWidth="1"/>
    <col min="13" max="13" width="17.125" style="2" customWidth="1"/>
    <col min="14" max="14" width="27.125" style="2" customWidth="1"/>
    <col min="15" max="16384" width="9" style="2"/>
  </cols>
  <sheetData>
    <row r="1" s="1" customForma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1" customFormat="1" spans="1:14">
      <c r="A2" s="1" t="s">
        <v>14</v>
      </c>
      <c r="B2" s="1" t="s">
        <v>15</v>
      </c>
      <c r="D2" s="1" t="s">
        <v>16</v>
      </c>
      <c r="E2" s="1" t="s">
        <v>17</v>
      </c>
      <c r="F2" s="1" t="s">
        <v>15</v>
      </c>
      <c r="G2" s="1" t="s">
        <v>15</v>
      </c>
      <c r="H2" s="1" t="s">
        <v>15</v>
      </c>
      <c r="I2" s="1" t="s">
        <v>18</v>
      </c>
      <c r="J2" s="1" t="s">
        <v>18</v>
      </c>
      <c r="K2" s="1" t="s">
        <v>19</v>
      </c>
      <c r="L2" s="1" t="s">
        <v>19</v>
      </c>
      <c r="M2" s="1" t="s">
        <v>18</v>
      </c>
      <c r="N2" s="1" t="s">
        <v>20</v>
      </c>
    </row>
    <row r="3" s="1" customFormat="1" ht="203.1" customHeight="1" spans="1:14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</row>
    <row r="4" spans="1:14">
      <c r="B4" s="2">
        <v>9011001</v>
      </c>
      <c r="C4" s="2" t="s">
        <v>35</v>
      </c>
      <c r="D4" s="2">
        <f>IF(B4="","",MOD(INT(B4/1000),10))</f>
        <v>1</v>
      </c>
      <c r="E4" s="2">
        <f>IF(B4="","",MOD(INT(B4/10000),10))</f>
        <v>1</v>
      </c>
      <c r="F4" s="2">
        <v>10001001</v>
      </c>
      <c r="G4" s="2">
        <v>100</v>
      </c>
      <c r="H4" s="2">
        <v>100</v>
      </c>
      <c r="I4" s="2" t="str">
        <f>"Assets/Game/Textures/Building/"&amp;B4&amp;".png"</f>
        <v>Assets/Game/Textures/Building/9011001.png</v>
      </c>
      <c r="K4" s="2" t="b">
        <v>1</v>
      </c>
      <c r="L4" s="2" t="b">
        <v>1</v>
      </c>
    </row>
    <row r="5" spans="1:14">
      <c r="B5" s="2">
        <v>9021002</v>
      </c>
      <c r="C5" s="2" t="s">
        <v>36</v>
      </c>
      <c r="D5" s="2">
        <f>IF(B5="","",MOD(INT(B5/1000),10))</f>
        <v>1</v>
      </c>
      <c r="E5" s="2">
        <f>IF(B5="","",MOD(INT(B5/10000),10))</f>
        <v>2</v>
      </c>
      <c r="F5" s="2">
        <v>10001002</v>
      </c>
      <c r="G5" s="2">
        <v>80</v>
      </c>
      <c r="H5" s="2">
        <v>80</v>
      </c>
      <c r="I5" s="2" t="str">
        <f>"Assets/Game/Textures/Building/"&amp;B5&amp;".png"</f>
        <v>Assets/Game/Textures/Building/9021002.png</v>
      </c>
      <c r="K5" s="2" t="b">
        <v>1</v>
      </c>
      <c r="L5" s="2" t="b">
        <v>1</v>
      </c>
    </row>
    <row r="6" spans="1:14">
      <c r="B6" s="2">
        <v>9031003</v>
      </c>
      <c r="C6" s="2" t="s">
        <v>37</v>
      </c>
      <c r="D6" s="2">
        <f>IF(B6="","",MOD(INT(B6/1000),10))</f>
        <v>1</v>
      </c>
      <c r="E6" s="2">
        <f>IF(B6="","",MOD(INT(B6/10000),10))</f>
        <v>3</v>
      </c>
      <c r="F6" s="2">
        <v>10001003</v>
      </c>
      <c r="G6" s="2">
        <v>70</v>
      </c>
      <c r="H6" s="2">
        <v>70</v>
      </c>
      <c r="I6" s="2" t="str">
        <f>"Assets/Game/Textures/Building/"&amp;B6&amp;".png"</f>
        <v>Assets/Game/Textures/Building/9031003.png</v>
      </c>
      <c r="K6" s="2" t="b">
        <v>1</v>
      </c>
      <c r="L6" s="2" t="b">
        <v>1</v>
      </c>
    </row>
    <row r="7" spans="1:14">
      <c r="B7" s="2">
        <v>9041004</v>
      </c>
      <c r="C7" s="2" t="s">
        <v>38</v>
      </c>
      <c r="D7" s="2">
        <f>IF(B7="","",MOD(INT(B7/1000),10))</f>
        <v>1</v>
      </c>
      <c r="E7" s="2">
        <f>IF(B7="","",MOD(INT(B7/10000),10))</f>
        <v>4</v>
      </c>
      <c r="F7" s="2">
        <v>10001004</v>
      </c>
      <c r="G7" s="2">
        <v>60</v>
      </c>
      <c r="H7" s="2">
        <v>60</v>
      </c>
      <c r="I7" s="2" t="str">
        <f>"Assets/Game/Textures/Building/"&amp;B7&amp;".png"</f>
        <v>Assets/Game/Textures/Building/9041004.png</v>
      </c>
      <c r="K7" s="2" t="b">
        <v>1</v>
      </c>
      <c r="L7" s="2" t="b">
        <v>1</v>
      </c>
    </row>
    <row r="8" spans="1:14">
      <c r="B8" s="2">
        <v>9051005</v>
      </c>
      <c r="C8" s="2" t="s">
        <v>39</v>
      </c>
      <c r="D8" s="2">
        <f>IF(B8="","",MOD(INT(B8/1000),10))</f>
        <v>1</v>
      </c>
      <c r="E8" s="2">
        <f>IF(B8="","",MOD(INT(B8/10000),10))</f>
        <v>5</v>
      </c>
      <c r="F8" s="2">
        <v>1001003</v>
      </c>
      <c r="I8" s="2" t="str">
        <f>"Assets/Game/Textures/Building/"&amp;B8&amp;".png"</f>
        <v>Assets/Game/Textures/Building/9051005.png</v>
      </c>
      <c r="K8" s="2" t="b">
        <v>1</v>
      </c>
      <c r="L8" s="2" t="b">
        <v>1</v>
      </c>
    </row>
  </sheetData>
  <autoFilter xmlns:etc="http://www.wps.cn/officeDocument/2017/etCustomData" ref="A3:C10" etc:filterBottomFollowUsedRange="0">
    <extLst/>
  </autoFilter>
  <conditionalFormatting sqref="D3">
    <cfRule type="duplicateValues" dxfId="0" priority="2"/>
  </conditionalFormatting>
  <conditionalFormatting sqref="B9:B14">
    <cfRule type="duplicateValues" dxfId="0" priority="1"/>
  </conditionalFormatting>
  <conditionalFormatting sqref="B1:B8 B15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2026-03-23T13:51:34Z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